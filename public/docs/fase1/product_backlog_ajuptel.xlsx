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natty\Downloads\Telegram Desktop\000. La que es\docs\docs\fase1\"/>
    </mc:Choice>
  </mc:AlternateContent>
  <xr:revisionPtr revIDLastSave="0" documentId="13_ncr:1_{4FFCC08F-3ADF-4E7F-9525-A49F4F97ED03}" xr6:coauthVersionLast="47" xr6:coauthVersionMax="47" xr10:uidLastSave="{00000000-0000-0000-0000-000000000000}"/>
  <bookViews>
    <workbookView xWindow="-120" yWindow="-120" windowWidth="20730" windowHeight="11040" tabRatio="500" activeTab="3" xr2:uid="{00000000-000D-0000-FFFF-FFFF00000000}"/>
  </bookViews>
  <sheets>
    <sheet name="BACKLOG" sheetId="1" r:id="rId1"/>
    <sheet name="DISTRIBUCION" sheetId="2" r:id="rId2"/>
    <sheet name="RESUMEN DE ESTIMACIONES" sheetId="3" r:id="rId3"/>
    <sheet name="BACKLOG SCA" sheetId="4" r:id="rId4"/>
  </sheets>
  <definedNames>
    <definedName name="_xlnm._FilterDatabase" localSheetId="0" hidden="1">BACKLOG!$A$13:$O$139</definedName>
    <definedName name="_xlnm._FilterDatabase" localSheetId="3" hidden="1">'BACKLOG SCA'!$A$12:$H$40</definedName>
    <definedName name="_xlnm.Print_Area" localSheetId="0">BACKLOG!$A$1:$O$139</definedName>
    <definedName name="_xlnm.Print_Area" localSheetId="3">'BACKLOG SCA'!$A$1:$H$40</definedName>
    <definedName name="_xlnm.Print_Area" localSheetId="1">DISTRIBUCION!$A$1:$G$25</definedName>
    <definedName name="_xlnm.Print_Titles" localSheetId="0">BACKLOG!$12:$13</definedName>
    <definedName name="_xlnm.Print_Titles" localSheetId="3">'BACKLOG SCA'!$11:$12</definedName>
    <definedName name="_xlnm.Print_Titles" localSheetId="1">DISTRIBUCION!$16:$16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24" i="3" l="1"/>
</calcChain>
</file>

<file path=xl/sharedStrings.xml><?xml version="1.0" encoding="utf-8"?>
<sst xmlns="http://schemas.openxmlformats.org/spreadsheetml/2006/main" count="688" uniqueCount="388">
  <si>
    <t>Nombre del Proyecto</t>
  </si>
  <si>
    <t xml:space="preserve">Sistema de Información Web Responsivo con Integración de Portal Informativo y Chatbot Interactivo con Inteligencia Artificial orientado a la optimización de la gestión de datos de la Asociación Civil (AJUPTEL), Región Carabobo. </t>
  </si>
  <si>
    <t>Dueño del Producto</t>
  </si>
  <si>
    <t>Asociación Civil de Trabajadores de Telecomunicaciones Jubilados y Pensionados de Carabobo (AJUPTEL CARABOBO)</t>
  </si>
  <si>
    <t>Product Owner</t>
  </si>
  <si>
    <t>TSU. Nattier Caraballo</t>
  </si>
  <si>
    <t>Scrum Master</t>
  </si>
  <si>
    <t>TSU. Cindia López</t>
  </si>
  <si>
    <t>Equipo de Desarrollo</t>
  </si>
  <si>
    <t>TSU. Luis Francisco Mujica, TSU. Jorge Luis Linares</t>
  </si>
  <si>
    <t>Fecha de Inicio</t>
  </si>
  <si>
    <t>16 de Febrero de 2026</t>
  </si>
  <si>
    <t>Fecha de Finalización</t>
  </si>
  <si>
    <t>03 de Julio de 2026</t>
  </si>
  <si>
    <t>Duración Total</t>
  </si>
  <si>
    <t>20 Semanas desglosadas de la siguiente manera:
2 semanas Fase de Preparación Técnica 
14 semanas de 7 Sprints de desarrollo de funcionalidades
4 semanas Fase de Despliegue y Cierre Técnico</t>
  </si>
  <si>
    <t>Versión</t>
  </si>
  <si>
    <t>ÉPICA</t>
  </si>
  <si>
    <t>HISTORIA DE USUARIO</t>
  </si>
  <si>
    <t>OTROS DATOS DE LA ÉPICA O HISTORIA DE USUARIO</t>
  </si>
  <si>
    <t>ID Épica</t>
  </si>
  <si>
    <t>Como(&lt;tipo de usuario&gt;)….</t>
  </si>
  <si>
    <t>Deseo/Quiero(&lt;realizar alguna tarea&gt;)….</t>
  </si>
  <si>
    <t>Para(&lt;lograr algún objetivo&gt;)….</t>
  </si>
  <si>
    <t>ID Historia de Usuario</t>
  </si>
  <si>
    <t>Deseo/Quiero&lt;realizar alguna tarea&gt;….</t>
  </si>
  <si>
    <t>Criterios de Aceptación</t>
  </si>
  <si>
    <t>Prioridad</t>
  </si>
  <si>
    <t>Estimación</t>
  </si>
  <si>
    <t>Dependencias</t>
  </si>
  <si>
    <t>Sprint</t>
  </si>
  <si>
    <t>Estado</t>
  </si>
  <si>
    <t>Comentarios</t>
  </si>
  <si>
    <t>E001</t>
  </si>
  <si>
    <t>HU001</t>
  </si>
  <si>
    <t>• Validación de credenciales contra base de datos.</t>
  </si>
  <si>
    <t>ALTA</t>
  </si>
  <si>
    <t>-</t>
  </si>
  <si>
    <t>Completada</t>
  </si>
  <si>
    <t>• Mensaje de error claro si las credenciales son incorrectas (sin revelar si el usuario existe).</t>
  </si>
  <si>
    <t xml:space="preserve">• El sistema debe limitar múltiples intentos fallidos de autenticación. </t>
  </si>
  <si>
    <t xml:space="preserve">• Redirección a la interfaz principal correspondiente al rol autenticado. </t>
  </si>
  <si>
    <t>HU002</t>
  </si>
  <si>
    <t>• Poder crear, editar y desactivar usuarios del sistema.</t>
  </si>
  <si>
    <t>•   El sistema debe permitir asignar roles predefinidos a los usuarios según sus funciones ( Supervisor, Ejecutivo, Operacional, Asociado).</t>
  </si>
  <si>
    <t>• Visualización clara de los permisos asociados a cada rol.</t>
  </si>
  <si>
    <t>HU003</t>
  </si>
  <si>
    <t>• Botón visible de "Cerrar Sesión" en todas las pantallas.</t>
  </si>
  <si>
    <t>MEDIA</t>
  </si>
  <si>
    <t xml:space="preserve">• El sistema debe finalizar correctamente la sesión activa del usuario. </t>
  </si>
  <si>
    <t>• Redirección a la página de inicio/login.</t>
  </si>
  <si>
    <t>E002</t>
  </si>
  <si>
    <t>HU004</t>
  </si>
  <si>
    <t>• Validación de cédula única (no duplicada).</t>
  </si>
  <si>
    <t>•   El sistema debe validar los campos obligatorios requeridos para el registro del asociado (nombres, apellidos, fecha nacimiento, dirección, teléfonos, email).</t>
  </si>
  <si>
    <t>• Selección de tipo de asociado: Jubilado o Sobreviviente.</t>
  </si>
  <si>
    <t xml:space="preserve">• El sistema debe permitir asociar un vocero al registro del asociado. </t>
  </si>
  <si>
    <t xml:space="preserve">• El sistema debe almacenar correctamente la información registrada del asociado. </t>
  </si>
  <si>
    <t>HU005</t>
  </si>
  <si>
    <t>• Búsqueda por cédula, nombres, apellidos o tipo de asociado.</t>
  </si>
  <si>
    <t xml:space="preserve">• El sistema debe mostrar los resultados de búsqueda de forma clara y organizada. </t>
  </si>
  <si>
    <t>• El sistema debe permitir consultar el detalle completo del asociado seleccionado.</t>
  </si>
  <si>
    <t>HU006</t>
  </si>
  <si>
    <t>• El sistema debe permitir actualizar la información del asociado registrada previamente.</t>
  </si>
  <si>
    <t>• Validación de datos al guardar (ej. formato de email, teléfono).</t>
  </si>
  <si>
    <t>• Registro de la fecha de última modificación (auditoría).</t>
  </si>
  <si>
    <t>HU007</t>
  </si>
  <si>
    <t>• El sistema debe solicitar confirmación antes de desactivar el registro.</t>
  </si>
  <si>
    <t>• El sistema debe conservar el historial del asociado mediante un cambio de estado del registro (inactivo o fallecido).</t>
  </si>
  <si>
    <t>• El asociado no aparece en búsquedas por defecto, pero puede ser consultado en un histórico.</t>
  </si>
  <si>
    <t>E003</t>
  </si>
  <si>
    <t>HU008</t>
  </si>
  <si>
    <t>• Asociación obligatoria a un asociado existente (válido).</t>
  </si>
  <si>
    <t>• El sistema debe permitir registrar la información básica y de contacto del familiar (nombres, apellidos, cédula, parentesco, teléfono, email, fecha nacimiento, entre otros).</t>
  </si>
  <si>
    <t>• Validación de cédula única por familiar (dentro del sistema).</t>
  </si>
  <si>
    <t>HU009</t>
  </si>
  <si>
    <t>• Listado de familiares visible en el perfil del asociado.</t>
  </si>
  <si>
    <t>• El sistema debe permitir actualizar la información registrada del familiar.</t>
  </si>
  <si>
    <t>• El sistema debe solicitar confirmación antes de desactivar el registro del familiar (Eliminación Lógica).</t>
  </si>
  <si>
    <t>HU010</t>
  </si>
  <si>
    <t>• El sistema debe permitir registrar la información básica y de contacto del vocero.</t>
  </si>
  <si>
    <t>• El sistema debe permitir actualizar la información registrada del vocero.</t>
  </si>
  <si>
    <t>• El sistema debe permitir desactivar voceros cuando sea requerido.</t>
  </si>
  <si>
    <t>• El sistema debe validar registros únicos de voceros dentro de la plataforma.</t>
  </si>
  <si>
    <t>• El sistema debe permitir asociar uno o varios voceros a un asociado.</t>
  </si>
  <si>
    <t>• El sistema debe permitir vincular un mismo vocero a múltiples asociados.</t>
  </si>
  <si>
    <t>HU011</t>
  </si>
  <si>
    <t>• El sistema debe permitir registrar la información básica y de contacto de los proveedores.</t>
  </si>
  <si>
    <t>BAJA</t>
  </si>
  <si>
    <t>• El sistema debe permitir clasificar proveedores según el tipo de servicio ofrecido.</t>
  </si>
  <si>
    <t>• El sistema debe permitir consultar y actualizar la información registrada de los proveedores.</t>
  </si>
  <si>
    <t>• El sistema debe permitir desactivar proveedores cuando sea requerido.</t>
  </si>
  <si>
    <t>• El sistema debe validar registros únicos de proveedores dentro del sistema.</t>
  </si>
  <si>
    <t>E004</t>
  </si>
  <si>
    <t>HU012</t>
  </si>
  <si>
    <t>• El sistema debe permitir cargar archivos compatibles para la importación de datos (.xlsx o .csv).</t>
  </si>
  <si>
    <t>• Validación automática de estructura de columnas.</t>
  </si>
  <si>
    <t>• El sistema debe detectar registros duplicados y permitir acciones de validación durante la importación.</t>
  </si>
  <si>
    <t>• El sistema debe mostrar un resumen de resultados de la importación indicando registros procesados, exitosos y con errores.</t>
  </si>
  <si>
    <t>HU013</t>
  </si>
  <si>
    <t>• El sistema debe permitir exportar información desde los módulos de consulta y reportes.</t>
  </si>
  <si>
    <t>HU005, HU015</t>
  </si>
  <si>
    <t>• El sistema debe permitir exportar información en formatos compatibles como Excel, PDF y CSV.</t>
  </si>
  <si>
    <t>• El archivo exportado debe reflejar la información filtrada o consultada por el usuario.</t>
  </si>
  <si>
    <t>E005</t>
  </si>
  <si>
    <t>HU014</t>
  </si>
  <si>
    <t>• El sistema debe mostrar indicadores generales de asociados registrados.</t>
  </si>
  <si>
    <t>HU004, HU006</t>
  </si>
  <si>
    <t>• El dashboard debe visualizar información resumida mediante gráficos y tarjetas informativas.</t>
  </si>
  <si>
    <t>• El sistema debe permitir visualizar estadísticas básicas relacionadas con los asociados registrados.</t>
  </si>
  <si>
    <t>HU015</t>
  </si>
  <si>
    <t>• El sistema debe permitir generar reportes relacionados con la información de asociados.</t>
  </si>
  <si>
    <t>• Los reportes deben poder visualizarse y exportarse en formatos compatibles.</t>
  </si>
  <si>
    <t>• El sistema debe permitir aplicar filtros básicos para la generación de reportes.</t>
  </si>
  <si>
    <t>E006</t>
  </si>
  <si>
    <t>HU016</t>
  </si>
  <si>
    <t>• El sistema debe validar las credenciales registradas del asociado.</t>
  </si>
  <si>
    <t>• El sistema debe mostrar mensajes claros en caso de error de autenticación.</t>
  </si>
  <si>
    <t>• El acceso debe permitir únicamente funcionalidades autorizadas para asociados.</t>
  </si>
  <si>
    <t>• La interfaz de acceso debe ser responsiva y accesible desde dispositivos móviles y de escritorio.</t>
  </si>
  <si>
    <t>HU017</t>
  </si>
  <si>
    <t>• El sistema debe mostrar la información personal y de contacto del asociado.</t>
  </si>
  <si>
    <t>HU004, HU016</t>
  </si>
  <si>
    <t>• El sistema debe visualizar información relacionada como tipo de asociado, fecha de ingreso y vocero asociado.</t>
  </si>
  <si>
    <t xml:space="preserve">• El asociado debe poder editar sus propios datos </t>
  </si>
  <si>
    <t>• El acceso a la información debe estar restringido únicamente al asociado autenticado.</t>
  </si>
  <si>
    <t>• La visualización de la información debe ser clara, legible y accesible para adultos mayores.</t>
  </si>
  <si>
    <t>HU018</t>
  </si>
  <si>
    <t xml:space="preserve">Quiero consultar los servicios y beneficios ofrecidos por AJUPTEL </t>
  </si>
  <si>
    <t xml:space="preserve">Para conocer las ayudas, convenios y actividades disponibles para los asociados </t>
  </si>
  <si>
    <t xml:space="preserve">El sistema debe mostrar un listado de servicios y beneficios ofrecidos por AJUPTEL. </t>
  </si>
  <si>
    <t>HU020</t>
  </si>
  <si>
    <t xml:space="preserve">Los servicios deben visualizarse organizados por categorías. </t>
  </si>
  <si>
    <t xml:space="preserve">La información debe estar disponible sin necesidad de autenticación. </t>
  </si>
  <si>
    <t xml:space="preserve">La visualización debe ser responsiva y accesible desde distintos dispositivos. </t>
  </si>
  <si>
    <t xml:space="preserve">El contenido debe presentarse de forma clara y comprensible para adultos mayores. </t>
  </si>
  <si>
    <t>HU019</t>
  </si>
  <si>
    <t>Quiero consultar la información de contacto de AJUPTEL</t>
  </si>
  <si>
    <t>Para poder comunicarme con la asociación cuando lo necesite</t>
  </si>
  <si>
    <t xml:space="preserve">El sistema debe mostrar dirección, teléfonos y correo electrónico institucional de AJUPTEL. </t>
  </si>
  <si>
    <t xml:space="preserve">El sistema debe incluir un formulario básico de contacto. </t>
  </si>
  <si>
    <t xml:space="preserve">El sistema debe permitir visualizar la ubicación de AJUPTEL mediante un mapa integrado. </t>
  </si>
  <si>
    <t xml:space="preserve">La información de contacto debe estar disponible sin necesidad de autenticación. </t>
  </si>
  <si>
    <t>HU001,HU002</t>
  </si>
  <si>
    <t>HU021</t>
  </si>
  <si>
    <t xml:space="preserve">Como visitante del sitio web </t>
  </si>
  <si>
    <t>Para mantenerme informado sobre información institucional, actividades, eventos y servicios de AJUPTEL</t>
  </si>
  <si>
    <t xml:space="preserve">El contenido debe presentarse de forma clara y comprensible para los usuarios. </t>
  </si>
  <si>
    <t>HU028</t>
  </si>
  <si>
    <t>Quiero ajustar las opciones de visualización y accesibilidad en la plataforma</t>
  </si>
  <si>
    <t>Para facilitar la lectura y navegación del contenido</t>
  </si>
  <si>
    <t xml:space="preserve">El portal debe contener un menú de accesibilidad visible en el encabezado superior, el cual debe mantenerse disponible en toda la navegación de las páginas públicas del sitio web. </t>
  </si>
  <si>
    <t xml:space="preserve">El sistema debe permitir al usuario alternar entre diferentes tamaños de letras para facilitar la lectura del contenido según las necesidades visuales del visitante. </t>
  </si>
  <si>
    <t xml:space="preserve">La plataforma debe proporcionar opciones para cambiar y alternar entre diversos modos de contraste visual que optimicen la legibilidad de la interfaz. </t>
  </si>
  <si>
    <t xml:space="preserve">El portal debe incluir herramientas de asistencia a la navegación y lectura de textos dentro del mismo menú superior de accesibilidad. </t>
  </si>
  <si>
    <t xml:space="preserve">El sistema debe asegurar que las preferencias de visualización elegidas por el usuario se mantengan aplicadas de manera consistente mientras navega por las distintas secciones públicas. </t>
  </si>
  <si>
    <t>E007</t>
  </si>
  <si>
    <t>HU022</t>
  </si>
  <si>
    <t>• El sistema debe permitir utilizar la cámara del dispositivo para capturar documentos.</t>
  </si>
  <si>
    <t>• El sistema debe permitir cargar imágenes o archivos PDF desde el dispositivo.</t>
  </si>
  <si>
    <t>• Los documentos deben asociarse al registro correspondiente del asociado.</t>
  </si>
  <si>
    <t>• El sistema debe realizar mejoras automáticas de imagen como:  recorte, corrección de perspectiva, mejora de contraste.</t>
  </si>
  <si>
    <t>• El sistema debe permitir previsualizar el documento antes de guardarlo.</t>
  </si>
  <si>
    <t xml:space="preserve">• La interfaz debe ser sencilla y accesible para adultos mayores. </t>
  </si>
  <si>
    <t>• La funcionalidad debe ser accesible desde dispositivos móviles y de escritorio.</t>
  </si>
  <si>
    <t>HU023</t>
  </si>
  <si>
    <t>Quiero enviar documentos digitales desde la plataforma</t>
  </si>
  <si>
    <t>Para compartir información y realizar trámites administrativos sin acudir presencialmente a la sede</t>
  </si>
  <si>
    <t>• El sistema debe permitir enviar documentos digitales por correo electrónico después de ser escaneados o cargados.</t>
  </si>
  <si>
    <t>• El usuario debe poder seleccionar documentos previamente registrados en la plataforma.</t>
  </si>
  <si>
    <t>• El sistema debe permitir seleccionar destinatarios predefinidos como:  correo personal del asociado, correo institucional de AJUPTEL, otros correos configurados por la organización.</t>
  </si>
  <si>
    <t>• El sistema debe permitir ingresar manualmente una dirección de correo electrónico.</t>
  </si>
  <si>
    <t>• El sistema debe mostrar confirmación de envío exitoso.</t>
  </si>
  <si>
    <t xml:space="preserve">• El sistema debe registrar la fecha y destinatario del envío realizado. </t>
  </si>
  <si>
    <t>HU024</t>
  </si>
  <si>
    <t>• El sistema debe mostrar un listado de documentos asociados al usuario o asociado correspondiente.</t>
  </si>
  <si>
    <t>• El sistema debe permitir visualizar o descargar documentos almacenados.</t>
  </si>
  <si>
    <t>• Los documentos deben visualizarse organizados por fecha de registro.</t>
  </si>
  <si>
    <t>• El sistema debe permitir identificar el tipo de documento registrado.</t>
  </si>
  <si>
    <t>• El acceso a los documentos debe estar restringido según los permisos del usuario.</t>
  </si>
  <si>
    <t>• La visualización debe ser clara, organizada y accesible desde dispositivos móviles y de escritorio.</t>
  </si>
  <si>
    <t>HU025</t>
  </si>
  <si>
    <t>• El sistema debe mostrar un historial de documentos cargados, escaneados y enviados por el asociado.</t>
  </si>
  <si>
    <t>• Los documentos deben visualizarse ordenados por fecha, mostrando primero los más recientes.</t>
  </si>
  <si>
    <t xml:space="preserve">• La visualización debe ser clara, organizada y accesible desde dispositivos móviles y de escritorio. </t>
  </si>
  <si>
    <t>• El sistema debe permitir previsualizar los documentos almacenados en la plataforma.</t>
  </si>
  <si>
    <t>E008</t>
  </si>
  <si>
    <t>HU026</t>
  </si>
  <si>
    <t>• El sistema debe validar automáticamente si la cédula ingresada ya se encuentra registrada.</t>
  </si>
  <si>
    <t>• El sistema debe mostrar una advertencia cuando exista un posible asociado duplicado.</t>
  </si>
  <si>
    <t>• La advertencia debe mostrar información básica del registro encontrado para facilitar la validación.</t>
  </si>
  <si>
    <t>• El sistema debe permitir al usuario consultar el registro existente antes de continuar.</t>
  </si>
  <si>
    <t>• El sistema debe permitir continuar el registro únicamente a usuarios autorizados.</t>
  </si>
  <si>
    <t>• La validación debe ejecutarse en tiempo real durante el registro del asociado.</t>
  </si>
  <si>
    <t>HU027</t>
  </si>
  <si>
    <t>• El sistema debe mostrar un acceso visible al asistente virtual desde la plataforma web.</t>
  </si>
  <si>
    <t>HU018,HU019</t>
  </si>
  <si>
    <t>• El asistente debe permitir consultar preguntas frecuentes relacionadas con AJUPTEL y el uso del sistema.</t>
  </si>
  <si>
    <t>• El sistema debe ofrecer opciones rápidas de consulta mediante botones o sugerencias predefinidas.</t>
  </si>
  <si>
    <t>• El asistente debe responder utilizando lenguaje claro, sencillo y comprensible para adultos mayores.</t>
  </si>
  <si>
    <t>• El asistente debe brindar orientación sobre procesos comunes como actualización de datos, consulta de servicios, contacto y uso de funcionalidades del sistema.</t>
  </si>
  <si>
    <t>• La interfaz del asistente debe ser accesible y responsiva desde dispositivos móviles y de escritorio.</t>
  </si>
  <si>
    <t xml:space="preserve">DISTRIBUCIÓN DE FASES Y SPRINTS DEL SISTEMA DE INFORMACIÓN WEB RESPONSIVO PARA LA GESTIÓN DE DATOS DE AJUPTEL, REGIÓN CARABOBO </t>
  </si>
  <si>
    <t>DISTRIBUCIÓN DE SPRINTS</t>
  </si>
  <si>
    <t>Fase/Sprint</t>
  </si>
  <si>
    <t>Fechas</t>
  </si>
  <si>
    <t>Duración</t>
  </si>
  <si>
    <t>Enfoque de Planificación Abierta</t>
  </si>
  <si>
    <t>Objetivo</t>
  </si>
  <si>
    <t>Actividades/Historias</t>
  </si>
  <si>
    <t xml:space="preserve">Fase de Preparación Técnica </t>
  </si>
  <si>
    <t xml:space="preserve">16/02/2026 - 27/02/2026 </t>
  </si>
  <si>
    <t>2 semanas</t>
  </si>
  <si>
    <t xml:space="preserve">Fundamentación Técnica del Proyecto: configuración inicial de infraestructura, arquitectura base NestJS + Angular, base de datos MySQL, repositorios y estándares de desarrollo. </t>
  </si>
  <si>
    <t xml:space="preserve">Preparar la arquitectura base del proyecto. </t>
  </si>
  <si>
    <t>Configuración de entorno. Arquitectura Laravel + Vue.js. Base de datos MySQL. Docker. GitHub. 
Estructura monolítica modular. Estándares de desarrollo. Configuración CI/CD inicial.</t>
  </si>
  <si>
    <t>No se estiman puntos de historias.
Primer Sprint Planning – Planificación Sprint 1</t>
  </si>
  <si>
    <t>Sprint 1 – Base del Sistema + Portal Público Inicial</t>
  </si>
  <si>
    <t>02/03/2026 - 13/03/2026</t>
  </si>
  <si>
    <t xml:space="preserve">Seguridad y Plataforma Institucional Base: autenticación, roles, recuperación de acceso y primeras funcionalidades del portal web público para publicación y consulta de contenido institucional. </t>
  </si>
  <si>
    <t xml:space="preserve">Construir la base de autenticación y habilitar la gestión de contenido institucional. </t>
  </si>
  <si>
    <t>HU001 – Inicio de sesión. 
HU002 – Roles y permisos. 
HU003 – Recuperación de contraseña. 
HU020 – Administración de contenido institucional. 
HU021 – Consulta de publicaciones.</t>
  </si>
  <si>
    <t>El portal público puede desarrollarse temprano y permite mostrar avances funcionales rápidos. 
Puntos estimados:
22–24 puntos.</t>
  </si>
  <si>
    <t xml:space="preserve">Sprint 2 – CRUD Principal de Asociados </t>
  </si>
  <si>
    <t>16/03/2026 - 27/03/2026</t>
  </si>
  <si>
    <t xml:space="preserve">Núcleo Operativo de Gestión de Asociados: registro, consulta, actualización y desactivación lógica de asociados, incluyendo búsquedas y validaciones básicas y el Menú de Accesibilidad </t>
  </si>
  <si>
    <t xml:space="preserve">Construir el núcleo operativo del sistema. </t>
  </si>
  <si>
    <t>HU004 – Registrar asociados. 
HU005 – Consultar asociados. 
HU006 – Actualizar asociados. 
HU007 – Desactivar asociados. 
HU028 – Menú de Accesibilidad</t>
  </si>
  <si>
    <t xml:space="preserve">Todas las demás funcionalidades dependen del CRUD principal.
25–28 puntos. </t>
  </si>
  <si>
    <t xml:space="preserve">Sprint 3 – Gestión Relacionada + Validaciones </t>
  </si>
  <si>
    <t>30/03/2026 - 10/04/2026</t>
  </si>
  <si>
    <t xml:space="preserve">Gestión Complementaria y Control de Integridad: administración de familiares, voceros y proveedores, junto con validaciones inteligentes para evitar registros duplicados. </t>
  </si>
  <si>
    <t xml:space="preserve">Extender la gestión administrativa de asociados. </t>
  </si>
  <si>
    <t>HU008 – Gestión de familiares. 
HU009 – Gestión de voceros. 
HU010 – Asociación múltiple de voceros. 
HU011 – Gestión de proveedores. 
HU026 – Detección de duplicados.</t>
  </si>
  <si>
    <t xml:space="preserve">Consolida el módulo administrativo antes de reportes y portal privado. </t>
  </si>
  <si>
    <t xml:space="preserve">Sprint 4 – Importación, Exportación y Dashboard </t>
  </si>
  <si>
    <t>13/04/2026 - 24/04/2026</t>
  </si>
  <si>
    <t xml:space="preserve">Procesamiento Masivo y Visualización Ejecutiva: importación/exportación de datos, generación de reportes administrativos y dashboard ejecutivo para apoyo a la toma de decisiones. </t>
  </si>
  <si>
    <t xml:space="preserve">Habilitar migración de datos y visualización ejecutiva. </t>
  </si>
  <si>
    <t>HU012 – Importación masiva. 
HU013 – Exportación de datos.
HU014 – Dashboard ejecutivo. 
HU015 – Reportes detallados.</t>
  </si>
  <si>
    <t xml:space="preserve">Ya existe suficiente información para reportes reales. </t>
  </si>
  <si>
    <t>Sprint 5 – Portal de Asociados</t>
  </si>
  <si>
    <t>27/04/2026 - 08/05/2026</t>
  </si>
  <si>
    <t xml:space="preserve">Portal Privado y Consulta de Información Personal: acceso seguro de asociados al portal, consulta de datos personales, servicios, beneficios e información institucional de contacto. </t>
  </si>
  <si>
    <t xml:space="preserve">Entregar funcionalidades directas a asociados. </t>
  </si>
  <si>
    <t>HU016 – Acceso al portal. 
HU017 – Consulta de información personal. 
HU018 – Consulta de servicios. 
HU019 – Información de contacto.</t>
  </si>
  <si>
    <t xml:space="preserve">El sistema administrativo ya está estable y puede exponerse al usuario final. </t>
  </si>
  <si>
    <t xml:space="preserve">Sprint 6 – Gestión Documental </t>
  </si>
  <si>
    <t>11/05/2026 - 22/05/2026</t>
  </si>
  <si>
    <t xml:space="preserve">Digitalización y Gestión Documental: escaneo, carga, envío y consulta de documentos digitales desde dispositivos móviles para agilizar trámites administrativos. </t>
  </si>
  <si>
    <t xml:space="preserve">Digitalizar trámites y reducir procesos manuales. </t>
  </si>
  <si>
    <t>HU022 – Escaneo/carga documental. 
HU023 – Envío de documentos. 
HU024 – Historial documental. 
HU025 – Consulta documental.</t>
  </si>
  <si>
    <t xml:space="preserve">Depende completamente del portal de asociados. </t>
  </si>
  <si>
    <t xml:space="preserve">Sprint 7 – Inteligencia Artificial y Mejoras UX </t>
  </si>
  <si>
    <t>25/05/2026 - 05/06/2026</t>
  </si>
  <si>
    <t xml:space="preserve">Asistencia Inteligente y Optimización de Experiencia: implementación de chatbot de ayuda, mejoras de accesibilidad para adultos mayores, optimización de navegación y experiencia de usuario. </t>
  </si>
  <si>
    <t xml:space="preserve">Agregar funcionalidades inteligentes y mejorar experiencia de usuario. </t>
  </si>
  <si>
    <t>HU027 – Chatbot</t>
  </si>
  <si>
    <t xml:space="preserve">Estas funcionalidades no deben bloquear el MVP. </t>
  </si>
  <si>
    <t xml:space="preserve">Fase de Despliegue y Cierre Técnico </t>
  </si>
  <si>
    <t>08/06/2026 – 03/07/2026</t>
  </si>
  <si>
    <t>4 semanas</t>
  </si>
  <si>
    <t xml:space="preserve">Integración General y Preparación de Producción: pruebas integrales, corrección de errores, hardening de seguridad, documentación técnica, despliegue y cierre del proyecto. </t>
  </si>
  <si>
    <t>Validar el funcionamiento integral del sistema y preparar la solución para su despliegue en producción mediante pruebas finales, corrección de incidencias, optimización, documentación y entrega formal del proyecto.</t>
  </si>
  <si>
    <t>Actividades Integración completa. Corrección de errores. QA. UAT. Optimización. 
Seguridad. Documentación. Preparación de despliegue.
Cierre
Despliegue en producción. Capacitación. 
Entrega formal: Manuales. 
Soporte inicial.</t>
  </si>
  <si>
    <t>No se estiman puntos de historias.
Entrega de Producto Final</t>
  </si>
  <si>
    <t>Duración Total Proyecto</t>
  </si>
  <si>
    <t>RESUMEN DE ESTIMACIONES POR SPRINT</t>
  </si>
  <si>
    <t>Columna1</t>
  </si>
  <si>
    <t>Columna2</t>
  </si>
  <si>
    <t>Puntos de Historia Asignados</t>
  </si>
  <si>
    <t>Puntos</t>
  </si>
  <si>
    <t>Sprint 1</t>
  </si>
  <si>
    <r>
      <rPr>
        <sz val="12"/>
        <rFont val="Arial"/>
        <family val="2"/>
        <charset val="1"/>
      </rPr>
      <t xml:space="preserve">5 (HU001) + 5 (HU002) + 3 (HU003) +  5 (HU020) + 5 (HU021) = </t>
    </r>
    <r>
      <rPr>
        <b/>
        <sz val="12"/>
        <rFont val="Arial"/>
        <family val="2"/>
        <charset val="1"/>
      </rPr>
      <t>23 puntos</t>
    </r>
  </si>
  <si>
    <t>Sprint 2</t>
  </si>
  <si>
    <r>
      <rPr>
        <sz val="12"/>
        <rFont val="Arial"/>
        <family val="2"/>
        <charset val="1"/>
      </rPr>
      <t>8 (HU004) + 5 (HU005) + 5 (HU006)  3 (HU007) + 5 (HU028)= </t>
    </r>
    <r>
      <rPr>
        <b/>
        <sz val="12"/>
        <rFont val="Arial"/>
        <family val="2"/>
        <charset val="1"/>
      </rPr>
      <t xml:space="preserve"> 23 puntos</t>
    </r>
  </si>
  <si>
    <t>Sprint 3</t>
  </si>
  <si>
    <r>
      <rPr>
        <sz val="12"/>
        <rFont val="Arial"/>
        <family val="2"/>
        <charset val="1"/>
      </rPr>
      <t>5 (HU008) + 5 (HU009) + 3 (HU010) + 3 (HU0011) + 5 (HU026) = </t>
    </r>
    <r>
      <rPr>
        <b/>
        <sz val="12"/>
        <rFont val="Arial"/>
        <family val="2"/>
        <charset val="1"/>
      </rPr>
      <t>21</t>
    </r>
    <r>
      <rPr>
        <sz val="12"/>
        <rFont val="Arial"/>
        <family val="2"/>
        <charset val="1"/>
      </rPr>
      <t xml:space="preserve"> </t>
    </r>
    <r>
      <rPr>
        <b/>
        <sz val="12"/>
        <rFont val="Arial"/>
        <family val="2"/>
        <charset val="1"/>
      </rPr>
      <t>puntos</t>
    </r>
  </si>
  <si>
    <t>Sprint 4</t>
  </si>
  <si>
    <r>
      <rPr>
        <sz val="12"/>
        <rFont val="Arial"/>
        <family val="2"/>
        <charset val="1"/>
      </rPr>
      <t>8 (HU012) + 5 (HU013) + 5 (HU014) + 5 (HU015)= 23</t>
    </r>
    <r>
      <rPr>
        <b/>
        <sz val="12"/>
        <rFont val="Arial"/>
        <family val="2"/>
        <charset val="1"/>
      </rPr>
      <t xml:space="preserve"> puntos</t>
    </r>
  </si>
  <si>
    <t>Sprint 5</t>
  </si>
  <si>
    <r>
      <rPr>
        <sz val="12"/>
        <rFont val="Arial"/>
        <family val="2"/>
        <charset val="1"/>
      </rPr>
      <t>5 (HU016) + 5 (HU017) + 5 (HU018) + 5 (HU019) = 20</t>
    </r>
    <r>
      <rPr>
        <b/>
        <sz val="12"/>
        <rFont val="Arial"/>
        <family val="2"/>
        <charset val="1"/>
      </rPr>
      <t xml:space="preserve"> puntos</t>
    </r>
  </si>
  <si>
    <t>Sprint 6</t>
  </si>
  <si>
    <r>
      <rPr>
        <sz val="12"/>
        <rFont val="Arial"/>
        <family val="2"/>
        <charset val="1"/>
      </rPr>
      <t>5 (HU022) + 5 (HU023) + 5 (HU024) + 3 (HU025) = 18</t>
    </r>
    <r>
      <rPr>
        <b/>
        <sz val="12"/>
        <rFont val="Arial"/>
        <family val="2"/>
        <charset val="1"/>
      </rPr>
      <t xml:space="preserve"> puntos</t>
    </r>
  </si>
  <si>
    <t>Sprint 7</t>
  </si>
  <si>
    <r>
      <rPr>
        <sz val="12"/>
        <rFont val="Arial"/>
        <family val="2"/>
        <charset val="1"/>
      </rPr>
      <t>8 (HU027) = 8</t>
    </r>
    <r>
      <rPr>
        <b/>
        <sz val="12"/>
        <rFont val="Arial"/>
        <family val="2"/>
        <charset val="1"/>
      </rPr>
      <t xml:space="preserve"> puntos</t>
    </r>
  </si>
  <si>
    <t>TOTAL</t>
  </si>
  <si>
    <t>Puntos de historia</t>
  </si>
  <si>
    <t xml:space="preserve">RESUMEN DE ESTIMACIONES POR SPRINT </t>
  </si>
  <si>
    <r>
      <t xml:space="preserve">Como </t>
    </r>
    <r>
      <rPr>
        <sz val="12"/>
        <color rgb="FF000000"/>
        <rFont val="Arial"/>
        <family val="2"/>
      </rPr>
      <t>administrador (Supervisor)</t>
    </r>
  </si>
  <si>
    <r>
      <t xml:space="preserve">Deseo </t>
    </r>
    <r>
      <rPr>
        <sz val="12"/>
        <color rgb="FF000000"/>
        <rFont val="Arial"/>
        <family val="2"/>
      </rPr>
      <t>gestionar la autenticación y control de acceso al sistema</t>
    </r>
  </si>
  <si>
    <r>
      <t xml:space="preserve">Para </t>
    </r>
    <r>
      <rPr>
        <sz val="12"/>
        <color rgb="FF000000"/>
        <rFont val="Arial"/>
        <family val="2"/>
      </rPr>
      <t>garantizar la seguridad de los datos de los asociados</t>
    </r>
  </si>
  <si>
    <r>
      <t xml:space="preserve">Como </t>
    </r>
    <r>
      <rPr>
        <sz val="12"/>
        <rFont val="Arial"/>
        <family val="2"/>
      </rPr>
      <t>usuario (cualquier rol)</t>
    </r>
  </si>
  <si>
    <r>
      <t xml:space="preserve">Quiero </t>
    </r>
    <r>
      <rPr>
        <sz val="12"/>
        <rFont val="Arial"/>
        <family val="2"/>
      </rPr>
      <t>iniciar sesión con usuario y contraseña</t>
    </r>
  </si>
  <si>
    <r>
      <t xml:space="preserve">Para </t>
    </r>
    <r>
      <rPr>
        <sz val="12"/>
        <rFont val="Arial"/>
        <family val="2"/>
      </rPr>
      <t>acceder al sistema de forma segura</t>
    </r>
  </si>
  <si>
    <r>
      <t xml:space="preserve">Quiero </t>
    </r>
    <r>
      <rPr>
        <sz val="12"/>
        <color rgb="FF000000"/>
        <rFont val="Arial"/>
        <family val="2"/>
      </rPr>
      <t>gestionar los roles y permisos de los usuarios</t>
    </r>
  </si>
  <si>
    <r>
      <t xml:space="preserve">Para </t>
    </r>
    <r>
      <rPr>
        <sz val="12"/>
        <color rgb="FF000000"/>
        <rFont val="Arial"/>
        <family val="2"/>
      </rPr>
      <t>controlar el acceso a las funcionalidades del sistema</t>
    </r>
  </si>
  <si>
    <r>
      <t xml:space="preserve">Quiero </t>
    </r>
    <r>
      <rPr>
        <sz val="12"/>
        <rFont val="Arial"/>
        <family val="2"/>
      </rPr>
      <t>cerrar sesión de forma segura</t>
    </r>
  </si>
  <si>
    <r>
      <t xml:space="preserve">Para </t>
    </r>
    <r>
      <rPr>
        <sz val="12"/>
        <rFont val="Arial"/>
        <family val="2"/>
      </rPr>
      <t>proteger mi cuenta en equipos compartidos</t>
    </r>
  </si>
  <si>
    <r>
      <t xml:space="preserve">Como </t>
    </r>
    <r>
      <rPr>
        <sz val="12"/>
        <color rgb="FF000000"/>
        <rFont val="Arial"/>
        <family val="2"/>
      </rPr>
      <t>administrador (Supervisor/
Operacional)</t>
    </r>
  </si>
  <si>
    <r>
      <t xml:space="preserve">Deseo </t>
    </r>
    <r>
      <rPr>
        <sz val="12"/>
        <color rgb="FF000000"/>
        <rFont val="Arial"/>
        <family val="2"/>
      </rPr>
      <t>gestionar la información de los asociados</t>
    </r>
  </si>
  <si>
    <r>
      <t>Para man</t>
    </r>
    <r>
      <rPr>
        <sz val="12"/>
        <rFont val="Arial"/>
        <family val="2"/>
      </rPr>
      <t>tener un registro centralizado, confiable y actualizado</t>
    </r>
  </si>
  <si>
    <r>
      <t xml:space="preserve">Como usuario </t>
    </r>
    <r>
      <rPr>
        <sz val="12"/>
        <rFont val="Arial"/>
        <family val="2"/>
      </rPr>
      <t>operacional</t>
    </r>
  </si>
  <si>
    <r>
      <t xml:space="preserve">Quiero </t>
    </r>
    <r>
      <rPr>
        <sz val="12"/>
        <rFont val="Arial"/>
        <family val="2"/>
      </rPr>
      <t>registrar un nuevo asociado con todos sus datos personales</t>
    </r>
  </si>
  <si>
    <r>
      <t xml:space="preserve">Para </t>
    </r>
    <r>
      <rPr>
        <sz val="12"/>
        <rFont val="Arial"/>
        <family val="2"/>
      </rPr>
      <t>incorporarlo a la base de datos de la asociación</t>
    </r>
  </si>
  <si>
    <r>
      <t xml:space="preserve">Quiero </t>
    </r>
    <r>
      <rPr>
        <sz val="12"/>
        <rFont val="Arial"/>
        <family val="2"/>
      </rPr>
      <t>consultar y visualizar la información de los asociados</t>
    </r>
  </si>
  <si>
    <r>
      <t xml:space="preserve">Para </t>
    </r>
    <r>
      <rPr>
        <sz val="12"/>
        <rFont val="Arial"/>
        <family val="2"/>
      </rPr>
      <t>atender rápidamente las solicitudes de los agremiados</t>
    </r>
  </si>
  <si>
    <r>
      <t xml:space="preserve">Quiero </t>
    </r>
    <r>
      <rPr>
        <sz val="12"/>
        <rFont val="Arial"/>
        <family val="2"/>
      </rPr>
      <t>modificar los datos de un asociado existente</t>
    </r>
  </si>
  <si>
    <r>
      <t xml:space="preserve">Para </t>
    </r>
    <r>
      <rPr>
        <sz val="12"/>
        <rFont val="Arial"/>
        <family val="2"/>
      </rPr>
      <t>mantener la información actualizada</t>
    </r>
  </si>
  <si>
    <r>
      <t xml:space="preserve">Como </t>
    </r>
    <r>
      <rPr>
        <sz val="12"/>
        <rFont val="Arial"/>
        <family val="2"/>
      </rPr>
      <t>supervisor</t>
    </r>
  </si>
  <si>
    <r>
      <t>Quiero</t>
    </r>
    <r>
      <rPr>
        <sz val="12"/>
        <rFont val="Arial"/>
        <family val="2"/>
      </rPr>
      <t xml:space="preserve"> desactivar un registro de asociado </t>
    </r>
  </si>
  <si>
    <r>
      <t xml:space="preserve">Para </t>
    </r>
    <r>
      <rPr>
        <sz val="12"/>
        <rFont val="Arial"/>
        <family val="2"/>
      </rPr>
      <t>gestionar casos de egreso o fallecimiento preservando el historial de información</t>
    </r>
  </si>
  <si>
    <r>
      <t xml:space="preserve">Deseo </t>
    </r>
    <r>
      <rPr>
        <sz val="12"/>
        <rFont val="Arial"/>
        <family val="2"/>
      </rPr>
      <t>gestionar la información de familiares, voceros y proveedores asociados a AJUPTEL</t>
    </r>
  </si>
  <si>
    <r>
      <t xml:space="preserve">Para </t>
    </r>
    <r>
      <rPr>
        <sz val="12"/>
        <rFont val="Arial"/>
        <family val="2"/>
      </rPr>
      <t>mantener un registro organizado y actualizado de la información relacionada con los asociados.</t>
    </r>
  </si>
  <si>
    <r>
      <t>Como</t>
    </r>
    <r>
      <rPr>
        <sz val="12"/>
        <rFont val="Arial"/>
        <family val="2"/>
      </rPr>
      <t xml:space="preserve"> usuario operacional</t>
    </r>
  </si>
  <si>
    <r>
      <t xml:space="preserve">Quiero </t>
    </r>
    <r>
      <rPr>
        <sz val="12"/>
        <rFont val="Arial"/>
        <family val="2"/>
      </rPr>
      <t>registrar un familiar asociado a un asociado principal</t>
    </r>
  </si>
  <si>
    <r>
      <t xml:space="preserve">Para </t>
    </r>
    <r>
      <rPr>
        <sz val="12"/>
        <rFont val="Arial"/>
        <family val="2"/>
      </rPr>
      <t>tener los datos de contacto y parentesco</t>
    </r>
  </si>
  <si>
    <r>
      <t xml:space="preserve">Quiero </t>
    </r>
    <r>
      <rPr>
        <sz val="12"/>
        <rFont val="Arial"/>
        <family val="2"/>
      </rPr>
      <t>consultar, modificar y eliminar familiares</t>
    </r>
  </si>
  <si>
    <r>
      <t xml:space="preserve">Para </t>
    </r>
    <r>
      <rPr>
        <sz val="12"/>
        <rFont val="Arial"/>
        <family val="2"/>
      </rPr>
      <t>mantener actualizados los datos del núcleo familiar</t>
    </r>
  </si>
  <si>
    <r>
      <t xml:space="preserve">Quiero </t>
    </r>
    <r>
      <rPr>
        <sz val="12"/>
        <rFont val="Arial"/>
        <family val="2"/>
      </rPr>
      <t>registrar y administrar voceros asociados</t>
    </r>
  </si>
  <si>
    <r>
      <t xml:space="preserve">Para </t>
    </r>
    <r>
      <rPr>
        <sz val="12"/>
        <rFont val="Arial"/>
        <family val="2"/>
      </rPr>
      <t>mantener actualizada la información de representación y contacto de los asociados.</t>
    </r>
  </si>
  <si>
    <r>
      <t xml:space="preserve">Como </t>
    </r>
    <r>
      <rPr>
        <sz val="12"/>
        <rFont val="Arial"/>
        <family val="2"/>
      </rPr>
      <t>supervisor/ usuario operacional</t>
    </r>
  </si>
  <si>
    <r>
      <t xml:space="preserve">Quiero </t>
    </r>
    <r>
      <rPr>
        <sz val="12"/>
        <rFont val="Arial"/>
        <family val="2"/>
      </rPr>
      <t>registrar y gestionar proveedores de servicios</t>
    </r>
  </si>
  <si>
    <r>
      <t xml:space="preserve">Para </t>
    </r>
    <r>
      <rPr>
        <sz val="12"/>
        <rFont val="Arial"/>
        <family val="2"/>
      </rPr>
      <t>mantener un directorio actualizado de aliados y servicios asociados a AJUPTEL.</t>
    </r>
  </si>
  <si>
    <r>
      <t xml:space="preserve">Como </t>
    </r>
    <r>
      <rPr>
        <sz val="12"/>
        <rFont val="Arial"/>
        <family val="2"/>
      </rPr>
      <t>administrador (Supervisor/
Operacional</t>
    </r>
    <r>
      <rPr>
        <b/>
        <sz val="12"/>
        <rFont val="Arial"/>
        <family val="2"/>
      </rPr>
      <t>)</t>
    </r>
  </si>
  <si>
    <r>
      <t xml:space="preserve">Deseo </t>
    </r>
    <r>
      <rPr>
        <sz val="12"/>
        <rFont val="Arial"/>
        <family val="2"/>
      </rPr>
      <t>importar y exportar datos de forma masiva</t>
    </r>
  </si>
  <si>
    <r>
      <t xml:space="preserve">Para </t>
    </r>
    <r>
      <rPr>
        <sz val="12"/>
        <rFont val="Arial"/>
        <family val="2"/>
      </rPr>
      <t>facilitar la migración de información histórica y la generación de archivos administrativos</t>
    </r>
  </si>
  <si>
    <r>
      <t xml:space="preserve">Como usuario </t>
    </r>
    <r>
      <rPr>
        <sz val="12"/>
        <rFont val="Arial"/>
        <family val="2"/>
      </rPr>
      <t>operacional/supervisor</t>
    </r>
  </si>
  <si>
    <r>
      <t xml:space="preserve">Quiero </t>
    </r>
    <r>
      <rPr>
        <sz val="12"/>
        <rFont val="Arial"/>
        <family val="2"/>
      </rPr>
      <t>importar datos de asociados desde archivos compatibles</t>
    </r>
  </si>
  <si>
    <r>
      <t xml:space="preserve">Para </t>
    </r>
    <r>
      <rPr>
        <sz val="12"/>
        <rFont val="Arial"/>
        <family val="2"/>
      </rPr>
      <t>migrar la información histórica de la Asociación</t>
    </r>
  </si>
  <si>
    <r>
      <t xml:space="preserve">Como usuario </t>
    </r>
    <r>
      <rPr>
        <sz val="12"/>
        <rFont val="Arial"/>
        <family val="2"/>
      </rPr>
      <t>operacional/supervisor/ejecutivo</t>
    </r>
  </si>
  <si>
    <r>
      <t xml:space="preserve">Quiero </t>
    </r>
    <r>
      <rPr>
        <sz val="12"/>
        <rFont val="Arial"/>
        <family val="2"/>
      </rPr>
      <t>exportar consultas y reportes en diferentes formatos</t>
    </r>
  </si>
  <si>
    <r>
      <t xml:space="preserve">Para </t>
    </r>
    <r>
      <rPr>
        <sz val="12"/>
        <rFont val="Arial"/>
        <family val="2"/>
      </rPr>
      <t>compartir información administrativa cuando sea requerido.</t>
    </r>
  </si>
  <si>
    <r>
      <t xml:space="preserve">Como </t>
    </r>
    <r>
      <rPr>
        <sz val="12"/>
        <rFont val="Arial"/>
        <family val="2"/>
      </rPr>
      <t xml:space="preserve">Ejecutivo </t>
    </r>
  </si>
  <si>
    <r>
      <t>Deseo</t>
    </r>
    <r>
      <rPr>
        <sz val="12"/>
        <rFont val="Arial"/>
        <family val="2"/>
      </rPr>
      <t xml:space="preserve"> acceder a indicadores y reportes administrativos</t>
    </r>
  </si>
  <si>
    <r>
      <t xml:space="preserve">Para </t>
    </r>
    <r>
      <rPr>
        <sz val="12"/>
        <rFont val="Arial"/>
        <family val="2"/>
      </rPr>
      <t>apoyar la gestión y consulta de información de la Asociación.</t>
    </r>
  </si>
  <si>
    <r>
      <t xml:space="preserve">Como </t>
    </r>
    <r>
      <rPr>
        <sz val="12"/>
        <rFont val="Arial"/>
        <family val="2"/>
      </rPr>
      <t>ejecutivo</t>
    </r>
  </si>
  <si>
    <r>
      <t xml:space="preserve">Quiero </t>
    </r>
    <r>
      <rPr>
        <sz val="12"/>
        <rFont val="Arial"/>
        <family val="2"/>
      </rPr>
      <t>Quiero visualizar un dashboard con indicadores administrativos</t>
    </r>
  </si>
  <si>
    <r>
      <t xml:space="preserve">Para </t>
    </r>
    <r>
      <rPr>
        <sz val="12"/>
        <rFont val="Arial"/>
        <family val="2"/>
      </rPr>
      <t>consultar información resumida de la Asociación.</t>
    </r>
  </si>
  <si>
    <r>
      <t xml:space="preserve">Quiero </t>
    </r>
    <r>
      <rPr>
        <sz val="12"/>
        <rFont val="Arial"/>
        <family val="2"/>
      </rPr>
      <t>generar reportes administrativos sobre los asociados</t>
    </r>
  </si>
  <si>
    <r>
      <t xml:space="preserve">Para </t>
    </r>
    <r>
      <rPr>
        <sz val="12"/>
        <rFont val="Arial"/>
        <family val="2"/>
      </rPr>
      <t>consultar y compartir información administrativa de la asociación.</t>
    </r>
  </si>
  <si>
    <r>
      <t>Como</t>
    </r>
    <r>
      <rPr>
        <sz val="12"/>
        <rFont val="Arial"/>
        <family val="2"/>
      </rPr>
      <t xml:space="preserve"> Asociado registrado</t>
    </r>
  </si>
  <si>
    <r>
      <t>Deseo a</t>
    </r>
    <r>
      <rPr>
        <sz val="12"/>
        <rFont val="Arial"/>
        <family val="2"/>
      </rPr>
      <t>cceder a una plataforma web institucional y a un portal privado de asociados</t>
    </r>
  </si>
  <si>
    <r>
      <t>Para c</t>
    </r>
    <r>
      <rPr>
        <sz val="12"/>
        <rFont val="Arial"/>
        <family val="2"/>
      </rPr>
      <t>onsultar información institucional, acceder a servicios digitales y mantenerme informado sobre actividades y contenido relacionado con AJUPTEL</t>
    </r>
  </si>
  <si>
    <r>
      <t xml:space="preserve">Como </t>
    </r>
    <r>
      <rPr>
        <sz val="12"/>
        <rFont val="Arial"/>
        <family val="2"/>
      </rPr>
      <t>asociado (usuario final)</t>
    </r>
  </si>
  <si>
    <r>
      <t xml:space="preserve">Quiero </t>
    </r>
    <r>
      <rPr>
        <sz val="12"/>
        <rFont val="Arial"/>
        <family val="2"/>
      </rPr>
      <t>iniciar sesión en el portal de asociados</t>
    </r>
  </si>
  <si>
    <r>
      <t>Para a</t>
    </r>
    <r>
      <rPr>
        <sz val="12"/>
        <rFont val="Arial"/>
        <family val="2"/>
      </rPr>
      <t>cceder de forma segura a mi información personal</t>
    </r>
  </si>
  <si>
    <r>
      <t xml:space="preserve">Como </t>
    </r>
    <r>
      <rPr>
        <sz val="12"/>
        <rFont val="Arial"/>
        <family val="2"/>
      </rPr>
      <t>asociado</t>
    </r>
  </si>
  <si>
    <r>
      <t>Quiero c</t>
    </r>
    <r>
      <rPr>
        <sz val="12"/>
        <rFont val="Arial"/>
        <family val="2"/>
      </rPr>
      <t>onsultar mi información personal desde el portal</t>
    </r>
  </si>
  <si>
    <r>
      <t>Para v</t>
    </r>
    <r>
      <rPr>
        <sz val="12"/>
        <rFont val="Arial"/>
        <family val="2"/>
      </rPr>
      <t>erificar y mantener actualizados mis datos registrados</t>
    </r>
  </si>
  <si>
    <r>
      <t>Como</t>
    </r>
    <r>
      <rPr>
        <sz val="12"/>
        <color rgb="FF000000"/>
        <rFont val="Arial"/>
        <family val="2"/>
      </rPr>
      <t xml:space="preserve"> usuario cualquier rol</t>
    </r>
  </si>
  <si>
    <r>
      <t xml:space="preserve">Como </t>
    </r>
    <r>
      <rPr>
        <sz val="12"/>
        <color rgb="FF000000"/>
        <rFont val="Arial"/>
        <family val="2"/>
      </rPr>
      <t>asociado o usuario operacional</t>
    </r>
  </si>
  <si>
    <r>
      <t xml:space="preserve">Deseo </t>
    </r>
    <r>
      <rPr>
        <sz val="12"/>
        <color rgb="FF000000"/>
        <rFont val="Arial"/>
        <family val="2"/>
      </rPr>
      <t>escanear documentos desde el móvil y enviarlos por email</t>
    </r>
  </si>
  <si>
    <r>
      <t xml:space="preserve">Para </t>
    </r>
    <r>
      <rPr>
        <sz val="12"/>
        <color rgb="FF000000"/>
        <rFont val="Arial"/>
        <family val="2"/>
      </rPr>
      <t>digitalizar trámites y evitar desplazamientos innecesarios</t>
    </r>
  </si>
  <si>
    <r>
      <t xml:space="preserve">Como </t>
    </r>
    <r>
      <rPr>
        <sz val="12"/>
        <rFont val="Arial"/>
        <family val="2"/>
      </rPr>
      <t>asociado o personal administrativo</t>
    </r>
  </si>
  <si>
    <r>
      <t xml:space="preserve">Quiero </t>
    </r>
    <r>
      <rPr>
        <sz val="12"/>
        <rFont val="Arial"/>
        <family val="2"/>
      </rPr>
      <t>escanear o capturar documentos desde mi dispositivo</t>
    </r>
  </si>
  <si>
    <r>
      <t xml:space="preserve">Para </t>
    </r>
    <r>
      <rPr>
        <sz val="12"/>
        <rFont val="Arial"/>
        <family val="2"/>
      </rPr>
      <t>digitalizar y registrar documentos en la plataforma</t>
    </r>
  </si>
  <si>
    <r>
      <t>Como</t>
    </r>
    <r>
      <rPr>
        <sz val="12"/>
        <color rgb="FF000000"/>
        <rFont val="Arial"/>
        <family val="2"/>
      </rPr>
      <t xml:space="preserve"> asociado o personal administrativo</t>
    </r>
  </si>
  <si>
    <r>
      <t xml:space="preserve">Quiero </t>
    </r>
    <r>
      <rPr>
        <sz val="12"/>
        <rFont val="Arial"/>
        <family val="2"/>
      </rPr>
      <t>consultar los documentos almacenados en la plataforma</t>
    </r>
  </si>
  <si>
    <r>
      <t xml:space="preserve">Para </t>
    </r>
    <r>
      <rPr>
        <sz val="12"/>
        <rFont val="Arial"/>
        <family val="2"/>
      </rPr>
      <t>acceder rápidamente al historial documental asociado a los trámites realizados</t>
    </r>
  </si>
  <si>
    <r>
      <t xml:space="preserve">Quiero </t>
    </r>
    <r>
      <rPr>
        <sz val="12"/>
        <rFont val="Arial"/>
        <family val="2"/>
      </rPr>
      <t>ver el historial de los documentos que he escaneado y enviado</t>
    </r>
  </si>
  <si>
    <r>
      <t xml:space="preserve">Para </t>
    </r>
    <r>
      <rPr>
        <sz val="12"/>
        <rFont val="Arial"/>
        <family val="2"/>
      </rPr>
      <t>tener un registro digital de mis trámites y documentos</t>
    </r>
  </si>
  <si>
    <r>
      <t xml:space="preserve">Como </t>
    </r>
    <r>
      <rPr>
        <sz val="12"/>
        <color rgb="FF000000"/>
        <rFont val="Arial"/>
        <family val="2"/>
      </rPr>
      <t>usuario cualquier rol</t>
    </r>
  </si>
  <si>
    <r>
      <t xml:space="preserve">Deseo </t>
    </r>
    <r>
      <rPr>
        <sz val="12"/>
        <color rgb="FF000000"/>
        <rFont val="Arial"/>
        <family val="2"/>
      </rPr>
      <t>recibir asistencia inteligente y validaciones automáticas dentro de la plataforma</t>
    </r>
  </si>
  <si>
    <r>
      <t>Para</t>
    </r>
    <r>
      <rPr>
        <sz val="12"/>
        <color rgb="FF000000"/>
        <rFont val="Arial"/>
        <family val="2"/>
      </rPr>
      <t xml:space="preserve"> facilitar el uso del sistema y mejorar la calidad de la información registrada</t>
    </r>
  </si>
  <si>
    <r>
      <t xml:space="preserve">Quiero </t>
    </r>
    <r>
      <rPr>
        <sz val="12"/>
        <rFont val="Arial"/>
        <family val="2"/>
      </rPr>
      <t>que el sistema me ayude a detectar asociados duplicados antes de crearlos</t>
    </r>
  </si>
  <si>
    <r>
      <t xml:space="preserve">Para </t>
    </r>
    <r>
      <rPr>
        <sz val="12"/>
        <rFont val="Arial"/>
        <family val="2"/>
      </rPr>
      <t>mantener la calidad y unicidad de los datos de la asociación</t>
    </r>
  </si>
  <si>
    <r>
      <t xml:space="preserve">Como </t>
    </r>
    <r>
      <rPr>
        <sz val="12"/>
        <color rgb="FF000000"/>
        <rFont val="Arial"/>
        <family val="2"/>
      </rPr>
      <t>cualquier usuario (especialmente adultos mayores)</t>
    </r>
  </si>
  <si>
    <r>
      <t xml:space="preserve">Quiero </t>
    </r>
    <r>
      <rPr>
        <sz val="12"/>
        <color rgb="FF000000"/>
        <rFont val="Arial"/>
        <family val="2"/>
      </rPr>
      <t>disponer de un asistente virtual que me ayude a resolver dudas frecuentes dentro de la plataforma</t>
    </r>
  </si>
  <si>
    <r>
      <t xml:space="preserve">Para </t>
    </r>
    <r>
      <rPr>
        <sz val="12"/>
        <color rgb="FF000000"/>
        <rFont val="Arial"/>
        <family val="2"/>
      </rPr>
      <t>utilizar el sistema de forma más sencilla sin depender de manuales o asistencia externa</t>
    </r>
  </si>
  <si>
    <t>Stakeholders</t>
  </si>
  <si>
    <t xml:space="preserve"> • La interfaz debe utilizar elementos visuales accesibles para adultos mayores (botones visibles, tipografía legible y navegación sencilla).</t>
  </si>
  <si>
    <t>2.0</t>
  </si>
  <si>
    <t>Como Público General / Visitante / Asociado</t>
  </si>
  <si>
    <t xml:space="preserve">Quiero consultar y navegar libremente por la plataforma del portal web institucional público y sus contenidos </t>
  </si>
  <si>
    <t>Para administrar el  contenido de la    página web, y mantener  informados a los asociados</t>
  </si>
  <si>
    <t>El sistema debe contar con la plataforma base y sus secciones estáticas institucionales tales como inicio, servicios, nosotros, blog, contacto.</t>
  </si>
  <si>
    <t>El sistema debe permitir crear, editar y desactivar publicaciones institucionales.</t>
  </si>
  <si>
    <t>El contenido publicado debe visualizarse de forma automática en la plataforma web pública.</t>
  </si>
  <si>
    <t xml:space="preserve"> La administración del contenido debe estar estrictamente protegida y restringida a usuarios autorizados.</t>
  </si>
  <si>
    <t xml:space="preserve"> Las publicaciones deben poder clasificarse por categorías como.  servicios, noticias</t>
  </si>
  <si>
    <t>La interfaz de administración debe ser accesible y adaptarse correctamente a distintos dispositivos.</t>
  </si>
  <si>
    <t>El sistema debe mostrar el contenido estático institucional y las publicaciones activas en la plataforma web pública.</t>
  </si>
  <si>
    <t>Las publicaciones deben visualizarse organizadas de forma clara por sus respectivas categorías.</t>
  </si>
  <si>
    <t>El sistema debe mostrar de forma visible la fecha de publicación del contenido.</t>
  </si>
  <si>
    <t>La visualización del portal debe ser responsiva y accesible desde distintos dispositivos (escritorio y móviles).</t>
  </si>
  <si>
    <t>Como usuario Administrador / Operacional</t>
  </si>
  <si>
    <t>Quiero crear la plataforma base del portal web institucional público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</si>
</sst>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charset val="1"/>
    </font>
    <font>
      <sz val="11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name val="Arial"/>
      <family val="2"/>
      <charset val="1"/>
    </font>
    <font>
      <b/>
      <sz val="11"/>
      <color theme="0"/>
      <name val="Arial"/>
      <family val="2"/>
      <charset val="1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sz val="11"/>
      <name val="Arial"/>
      <family val="2"/>
      <charset val="1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b/>
      <sz val="12"/>
      <color theme="0" tint="-4.9989318521683403E-2"/>
      <name val="Arial"/>
      <family val="2"/>
    </font>
    <font>
      <b/>
      <sz val="12"/>
      <color theme="0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b/>
      <sz val="12"/>
      <color rgb="FFFF0000"/>
      <name val="Arial"/>
      <family val="2"/>
      <charset val="1"/>
    </font>
    <font>
      <b/>
      <sz val="12"/>
      <color theme="0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theme="5"/>
        <bgColor rgb="FFFF8080"/>
      </patternFill>
    </fill>
    <fill>
      <patternFill patternType="solid">
        <fgColor theme="9" tint="-0.249977111117893"/>
        <bgColor rgb="FF468A1A"/>
      </patternFill>
    </fill>
    <fill>
      <patternFill patternType="solid">
        <fgColor rgb="FF468A1A"/>
        <bgColor rgb="FF548235"/>
      </patternFill>
    </fill>
    <fill>
      <patternFill patternType="solid">
        <fgColor theme="9" tint="0.79979857783745845"/>
        <bgColor rgb="FFDEEBF7"/>
      </patternFill>
    </fill>
    <fill>
      <patternFill patternType="solid">
        <fgColor theme="8" tint="0.79979857783745845"/>
        <bgColor rgb="FFDAE3F3"/>
      </patternFill>
    </fill>
    <fill>
      <patternFill patternType="solid">
        <fgColor theme="7" tint="0.79979857783745845"/>
        <bgColor rgb="FFFBE5D6"/>
      </patternFill>
    </fill>
    <fill>
      <patternFill patternType="solid">
        <fgColor theme="5" tint="0.79979857783745845"/>
        <bgColor rgb="FFFFF2CC"/>
      </patternFill>
    </fill>
    <fill>
      <patternFill patternType="solid">
        <fgColor theme="4" tint="0.79979857783745845"/>
        <bgColor rgb="FFDEEBF7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theme="9" tint="0.39979247413556324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0CECE"/>
      </patternFill>
    </fill>
    <fill>
      <patternFill patternType="solid">
        <fgColor theme="9" tint="-0.249977111117893"/>
        <bgColor rgb="FF548235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 applyProtection="1">
      <alignment wrapText="1"/>
    </xf>
    <xf numFmtId="0" fontId="1" fillId="0" borderId="0" xfId="0" applyFont="1" applyAlignment="1" applyProtection="1">
      <alignment vertical="center" wrapText="1"/>
    </xf>
    <xf numFmtId="0" fontId="1" fillId="0" borderId="0" xfId="0" applyFont="1" applyAlignment="1" applyProtection="1"/>
    <xf numFmtId="0" fontId="2" fillId="0" borderId="0" xfId="0" applyFont="1" applyAlignment="1" applyProtection="1">
      <alignment wrapText="1"/>
    </xf>
    <xf numFmtId="0" fontId="1" fillId="0" borderId="2" xfId="0" applyFont="1" applyBorder="1" applyAlignment="1" applyProtection="1">
      <alignment wrapText="1"/>
    </xf>
    <xf numFmtId="0" fontId="1" fillId="0" borderId="3" xfId="0" applyFont="1" applyBorder="1" applyAlignment="1" applyProtection="1">
      <alignment wrapText="1"/>
    </xf>
    <xf numFmtId="0" fontId="1" fillId="0" borderId="4" xfId="0" applyFont="1" applyBorder="1" applyAlignment="1" applyProtection="1">
      <alignment wrapText="1"/>
    </xf>
    <xf numFmtId="0" fontId="4" fillId="2" borderId="1" xfId="0" applyFont="1" applyFill="1" applyBorder="1" applyAlignment="1" applyProtection="1">
      <alignment horizontal="center" vertical="center" wrapText="1"/>
    </xf>
    <xf numFmtId="0" fontId="0" fillId="0" borderId="0" xfId="0" applyFont="1" applyAlignment="1" applyProtection="1"/>
    <xf numFmtId="0" fontId="0" fillId="0" borderId="0" xfId="0" applyAlignment="1" applyProtection="1"/>
    <xf numFmtId="0" fontId="2" fillId="0" borderId="0" xfId="0" applyFont="1" applyAlignment="1" applyProtection="1"/>
    <xf numFmtId="0" fontId="2" fillId="0" borderId="1" xfId="0" applyFont="1" applyBorder="1" applyAlignment="1" applyProtection="1">
      <alignment vertical="center"/>
    </xf>
    <xf numFmtId="0" fontId="2" fillId="0" borderId="0" xfId="0" applyFont="1" applyBorder="1" applyAlignment="1" applyProtection="1">
      <alignment vertical="center"/>
    </xf>
    <xf numFmtId="0" fontId="1" fillId="0" borderId="0" xfId="0" applyFont="1" applyBorder="1" applyAlignment="1" applyProtection="1">
      <alignment horizontal="left" vertical="center" wrapText="1"/>
    </xf>
    <xf numFmtId="0" fontId="4" fillId="2" borderId="1" xfId="0" applyFont="1" applyFill="1" applyBorder="1" applyAlignment="1" applyProtection="1">
      <alignment horizontal="center"/>
    </xf>
    <xf numFmtId="0" fontId="2" fillId="0" borderId="1" xfId="0" applyFont="1" applyBorder="1" applyAlignment="1" applyProtection="1">
      <alignment horizontal="left" vertical="center" wrapText="1"/>
    </xf>
    <xf numFmtId="0" fontId="6" fillId="0" borderId="1" xfId="0" applyFont="1" applyBorder="1" applyAlignment="1" applyProtection="1">
      <alignment horizontal="left" vertical="center" wrapText="1"/>
    </xf>
    <xf numFmtId="0" fontId="2" fillId="0" borderId="1" xfId="0" applyFont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center" vertical="center"/>
    </xf>
    <xf numFmtId="0" fontId="2" fillId="14" borderId="1" xfId="0" applyFont="1" applyFill="1" applyBorder="1" applyAlignment="1" applyProtection="1">
      <alignment horizontal="left" vertical="center" wrapText="1"/>
    </xf>
    <xf numFmtId="0" fontId="2" fillId="10" borderId="1" xfId="0" applyFont="1" applyFill="1" applyBorder="1" applyAlignment="1" applyProtection="1">
      <alignment horizontal="center" vertical="center"/>
    </xf>
    <xf numFmtId="0" fontId="9" fillId="0" borderId="0" xfId="0" applyFont="1" applyAlignment="1" applyProtection="1">
      <alignment wrapText="1"/>
    </xf>
    <xf numFmtId="0" fontId="11" fillId="2" borderId="1" xfId="0" applyFont="1" applyFill="1" applyBorder="1" applyAlignment="1" applyProtection="1">
      <alignment horizontal="center" vertical="center" wrapText="1"/>
    </xf>
    <xf numFmtId="0" fontId="12" fillId="3" borderId="1" xfId="0" applyFont="1" applyFill="1" applyBorder="1" applyAlignment="1" applyProtection="1">
      <alignment horizontal="center" vertical="center" wrapText="1"/>
    </xf>
    <xf numFmtId="0" fontId="12" fillId="4" borderId="1" xfId="0" applyFont="1" applyFill="1" applyBorder="1" applyAlignment="1" applyProtection="1">
      <alignment horizontal="center" vertical="center" wrapText="1"/>
    </xf>
    <xf numFmtId="0" fontId="12" fillId="5" borderId="1" xfId="0" applyFont="1" applyFill="1" applyBorder="1" applyAlignment="1" applyProtection="1">
      <alignment horizontal="center" vertical="center" wrapText="1"/>
    </xf>
    <xf numFmtId="0" fontId="9" fillId="0" borderId="1" xfId="0" applyFont="1" applyBorder="1" applyAlignment="1" applyProtection="1">
      <alignment horizontal="left" vertical="center" wrapText="1"/>
    </xf>
    <xf numFmtId="0" fontId="9" fillId="0" borderId="1" xfId="0" applyFont="1" applyBorder="1" applyAlignment="1" applyProtection="1">
      <alignment vertical="center" wrapText="1"/>
    </xf>
    <xf numFmtId="0" fontId="14" fillId="0" borderId="1" xfId="0" applyFont="1" applyBorder="1" applyAlignment="1" applyProtection="1">
      <alignment wrapText="1"/>
    </xf>
    <xf numFmtId="0" fontId="14" fillId="0" borderId="1" xfId="0" applyFont="1" applyBorder="1" applyAlignment="1" applyProtection="1">
      <alignment vertical="center" wrapText="1"/>
    </xf>
    <xf numFmtId="0" fontId="12" fillId="4" borderId="1" xfId="0" applyFont="1" applyFill="1" applyBorder="1" applyAlignment="1" applyProtection="1">
      <alignment horizontal="center" vertical="center" textRotation="90" wrapText="1"/>
    </xf>
    <xf numFmtId="0" fontId="8" fillId="0" borderId="1" xfId="0" applyFont="1" applyBorder="1" applyAlignment="1" applyProtection="1">
      <alignment horizontal="center" vertical="center" wrapText="1"/>
    </xf>
    <xf numFmtId="0" fontId="15" fillId="0" borderId="1" xfId="0" applyFont="1" applyBorder="1" applyAlignment="1" applyProtection="1">
      <alignment horizontal="left" vertical="center" wrapText="1"/>
    </xf>
    <xf numFmtId="0" fontId="8" fillId="0" borderId="5" xfId="0" applyFont="1" applyBorder="1" applyAlignment="1" applyProtection="1">
      <alignment horizontal="center" vertical="center" wrapText="1"/>
    </xf>
    <xf numFmtId="0" fontId="12" fillId="15" borderId="1" xfId="0" applyFont="1" applyFill="1" applyBorder="1" applyAlignment="1" applyProtection="1">
      <alignment horizontal="center" vertical="center" textRotation="90" wrapText="1"/>
    </xf>
    <xf numFmtId="0" fontId="16" fillId="0" borderId="0" xfId="0" applyFont="1" applyAlignment="1" applyProtection="1">
      <alignment vertical="center" wrapText="1"/>
    </xf>
    <xf numFmtId="0" fontId="16" fillId="0" borderId="0" xfId="0" applyFont="1" applyAlignment="1" applyProtection="1">
      <alignment wrapText="1"/>
    </xf>
    <xf numFmtId="0" fontId="17" fillId="0" borderId="0" xfId="0" applyFont="1" applyAlignment="1" applyProtection="1">
      <alignment wrapText="1"/>
    </xf>
    <xf numFmtId="0" fontId="17" fillId="0" borderId="1" xfId="0" applyFont="1" applyBorder="1" applyAlignment="1" applyProtection="1">
      <alignment vertical="center" wrapText="1"/>
    </xf>
    <xf numFmtId="0" fontId="18" fillId="0" borderId="0" xfId="0" applyFont="1" applyAlignment="1" applyProtection="1">
      <alignment wrapText="1"/>
    </xf>
    <xf numFmtId="0" fontId="19" fillId="2" borderId="1" xfId="0" applyFont="1" applyFill="1" applyBorder="1" applyAlignment="1" applyProtection="1">
      <alignment horizontal="center" vertical="center" wrapText="1"/>
    </xf>
    <xf numFmtId="0" fontId="19" fillId="2" borderId="1" xfId="0" applyFont="1" applyFill="1" applyBorder="1" applyAlignment="1" applyProtection="1">
      <alignment vertical="center" wrapText="1"/>
    </xf>
    <xf numFmtId="0" fontId="16" fillId="0" borderId="1" xfId="0" applyFont="1" applyBorder="1" applyAlignment="1" applyProtection="1">
      <alignment vertical="center" wrapText="1"/>
    </xf>
    <xf numFmtId="0" fontId="13" fillId="0" borderId="1" xfId="0" applyFont="1" applyBorder="1" applyAlignment="1" applyProtection="1">
      <alignment horizontal="left" vertical="center" wrapText="1"/>
    </xf>
    <xf numFmtId="0" fontId="9" fillId="0" borderId="5" xfId="0" applyFont="1" applyBorder="1" applyAlignment="1" applyProtection="1">
      <alignment horizontal="left" vertical="center" wrapText="1"/>
    </xf>
    <xf numFmtId="0" fontId="15" fillId="0" borderId="5" xfId="0" applyFont="1" applyBorder="1" applyAlignment="1" applyProtection="1">
      <alignment horizontal="left" vertical="center" wrapText="1"/>
    </xf>
    <xf numFmtId="0" fontId="9" fillId="0" borderId="1" xfId="0" applyFont="1" applyBorder="1" applyAlignment="1" applyProtection="1">
      <alignment horizontal="center" vertical="center" wrapText="1"/>
    </xf>
    <xf numFmtId="0" fontId="8" fillId="13" borderId="1" xfId="0" applyFont="1" applyFill="1" applyBorder="1" applyAlignment="1" applyProtection="1">
      <alignment horizontal="center" vertical="center" wrapText="1"/>
    </xf>
    <xf numFmtId="0" fontId="13" fillId="0" borderId="1" xfId="0" applyFont="1" applyBorder="1" applyAlignment="1" applyProtection="1">
      <alignment horizontal="center" vertical="center" wrapText="1"/>
    </xf>
    <xf numFmtId="0" fontId="8" fillId="0" borderId="1" xfId="0" applyFont="1" applyBorder="1" applyAlignment="1" applyProtection="1">
      <alignment horizontal="center" vertical="center" wrapText="1"/>
    </xf>
    <xf numFmtId="0" fontId="15" fillId="0" borderId="1" xfId="0" applyFont="1" applyBorder="1" applyAlignment="1" applyProtection="1">
      <alignment horizontal="center" vertical="center" wrapText="1"/>
    </xf>
    <xf numFmtId="0" fontId="15" fillId="0" borderId="1" xfId="0" applyFont="1" applyBorder="1" applyAlignment="1" applyProtection="1">
      <alignment horizontal="left" vertical="center" wrapText="1"/>
    </xf>
    <xf numFmtId="0" fontId="8" fillId="12" borderId="1" xfId="0" applyFont="1" applyFill="1" applyBorder="1" applyAlignment="1" applyProtection="1">
      <alignment horizontal="center" vertical="center" wrapText="1"/>
    </xf>
    <xf numFmtId="49" fontId="9" fillId="0" borderId="1" xfId="0" applyNumberFormat="1" applyFont="1" applyBorder="1" applyAlignment="1" applyProtection="1">
      <alignment horizontal="center" vertical="center" wrapText="1"/>
    </xf>
    <xf numFmtId="0" fontId="8" fillId="11" borderId="1" xfId="0" applyFont="1" applyFill="1" applyBorder="1" applyAlignment="1" applyProtection="1">
      <alignment horizontal="center" vertical="center" wrapText="1"/>
    </xf>
    <xf numFmtId="0" fontId="8" fillId="10" borderId="1" xfId="0" applyFont="1" applyFill="1" applyBorder="1" applyAlignment="1" applyProtection="1">
      <alignment horizontal="center" vertical="center" wrapText="1"/>
    </xf>
    <xf numFmtId="0" fontId="8" fillId="9" borderId="1" xfId="0" applyFont="1" applyFill="1" applyBorder="1" applyAlignment="1" applyProtection="1">
      <alignment horizontal="center" vertical="center" wrapText="1"/>
    </xf>
    <xf numFmtId="0" fontId="8" fillId="8" borderId="1" xfId="0" applyFont="1" applyFill="1" applyBorder="1" applyAlignment="1" applyProtection="1">
      <alignment horizontal="center" vertical="center" wrapText="1"/>
    </xf>
    <xf numFmtId="0" fontId="8" fillId="7" borderId="1" xfId="0" applyFont="1" applyFill="1" applyBorder="1" applyAlignment="1" applyProtection="1">
      <alignment horizontal="center" vertical="center" wrapText="1"/>
    </xf>
    <xf numFmtId="0" fontId="8" fillId="0" borderId="0" xfId="0" applyFont="1" applyBorder="1" applyAlignment="1" applyProtection="1">
      <alignment horizontal="center" wrapText="1"/>
    </xf>
    <xf numFmtId="0" fontId="11" fillId="2" borderId="1" xfId="0" applyFont="1" applyFill="1" applyBorder="1" applyAlignment="1" applyProtection="1">
      <alignment horizontal="center" wrapText="1"/>
    </xf>
    <xf numFmtId="0" fontId="12" fillId="3" borderId="1" xfId="0" applyFont="1" applyFill="1" applyBorder="1" applyAlignment="1" applyProtection="1">
      <alignment horizontal="center" wrapText="1"/>
    </xf>
    <xf numFmtId="0" fontId="12" fillId="4" borderId="1" xfId="0" applyFont="1" applyFill="1" applyBorder="1" applyAlignment="1" applyProtection="1">
      <alignment horizontal="center" vertical="center" wrapText="1"/>
    </xf>
    <xf numFmtId="0" fontId="8" fillId="6" borderId="1" xfId="0" applyFont="1" applyFill="1" applyBorder="1" applyAlignment="1" applyProtection="1">
      <alignment horizontal="center" vertical="center" wrapText="1"/>
    </xf>
    <xf numFmtId="0" fontId="8" fillId="0" borderId="1" xfId="0" applyFont="1" applyBorder="1" applyAlignment="1" applyProtection="1">
      <alignment vertical="center" wrapText="1"/>
    </xf>
    <xf numFmtId="0" fontId="9" fillId="0" borderId="1" xfId="0" applyFont="1" applyBorder="1" applyAlignment="1" applyProtection="1">
      <alignment horizontal="left" vertical="center" wrapText="1"/>
    </xf>
    <xf numFmtId="0" fontId="10" fillId="0" borderId="1" xfId="0" applyFont="1" applyBorder="1" applyAlignment="1" applyProtection="1">
      <alignment vertical="center" wrapText="1"/>
    </xf>
    <xf numFmtId="0" fontId="1" fillId="0" borderId="0" xfId="0" applyFont="1" applyBorder="1" applyAlignment="1" applyProtection="1">
      <alignment horizontal="center" wrapText="1"/>
    </xf>
    <xf numFmtId="0" fontId="16" fillId="0" borderId="1" xfId="0" applyFont="1" applyBorder="1" applyAlignment="1" applyProtection="1">
      <alignment vertical="center" wrapText="1"/>
    </xf>
    <xf numFmtId="0" fontId="17" fillId="0" borderId="0" xfId="0" applyFont="1" applyBorder="1" applyAlignment="1" applyProtection="1">
      <alignment horizontal="center" vertical="center" wrapText="1"/>
    </xf>
    <xf numFmtId="0" fontId="19" fillId="2" borderId="7" xfId="0" applyFont="1" applyFill="1" applyBorder="1" applyAlignment="1" applyProtection="1">
      <alignment horizontal="center" vertical="center" wrapText="1"/>
    </xf>
    <xf numFmtId="0" fontId="19" fillId="2" borderId="8" xfId="0" applyFont="1" applyFill="1" applyBorder="1" applyAlignment="1" applyProtection="1">
      <alignment horizontal="center" vertical="center" wrapText="1"/>
    </xf>
    <xf numFmtId="0" fontId="6" fillId="0" borderId="1" xfId="0" applyFont="1" applyBorder="1" applyAlignment="1" applyProtection="1">
      <alignment vertical="center" wrapText="1"/>
    </xf>
    <xf numFmtId="0" fontId="16" fillId="0" borderId="0" xfId="0" applyFont="1" applyBorder="1" applyAlignment="1" applyProtection="1">
      <alignment horizontal="center" vertical="center" wrapText="1"/>
    </xf>
    <xf numFmtId="0" fontId="17" fillId="0" borderId="0" xfId="0" applyFont="1" applyBorder="1" applyAlignment="1" applyProtection="1">
      <alignment horizontal="center" wrapText="1"/>
    </xf>
    <xf numFmtId="0" fontId="1" fillId="0" borderId="1" xfId="0" applyFont="1" applyBorder="1" applyAlignment="1" applyProtection="1">
      <alignment horizontal="left" vertical="center" wrapText="1"/>
    </xf>
    <xf numFmtId="0" fontId="2" fillId="0" borderId="0" xfId="0" applyFont="1" applyBorder="1" applyAlignment="1" applyProtection="1">
      <alignment horizontal="center"/>
    </xf>
    <xf numFmtId="0" fontId="3" fillId="0" borderId="1" xfId="0" applyFont="1" applyBorder="1" applyAlignment="1" applyProtection="1">
      <alignment vertical="center" wrapText="1"/>
    </xf>
    <xf numFmtId="0" fontId="1" fillId="0" borderId="0" xfId="0" applyFont="1" applyBorder="1" applyAlignment="1" applyProtection="1">
      <alignment horizontal="center" vertical="center" wrapText="1"/>
    </xf>
    <xf numFmtId="0" fontId="2" fillId="0" borderId="0" xfId="0" applyFont="1" applyBorder="1" applyAlignment="1" applyProtection="1">
      <alignment horizontal="center" vertical="center" wrapText="1"/>
    </xf>
    <xf numFmtId="0" fontId="8" fillId="11" borderId="5" xfId="0" applyFont="1" applyFill="1" applyBorder="1" applyAlignment="1" applyProtection="1">
      <alignment horizontal="center" vertical="center" wrapText="1"/>
    </xf>
    <xf numFmtId="0" fontId="8" fillId="11" borderId="6" xfId="0" applyFont="1" applyFill="1" applyBorder="1" applyAlignment="1" applyProtection="1">
      <alignment horizontal="center" vertical="center" wrapText="1"/>
    </xf>
    <xf numFmtId="0" fontId="15" fillId="0" borderId="5" xfId="0" applyFont="1" applyBorder="1" applyAlignment="1" applyProtection="1">
      <alignment horizontal="center" vertical="center" wrapText="1"/>
    </xf>
    <xf numFmtId="0" fontId="15" fillId="0" borderId="6" xfId="0" applyFont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D0CECE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F2F2F2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2060"/>
      <rgbColor rgb="FF468A1A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1425600</xdr:colOff>
      <xdr:row>0</xdr:row>
      <xdr:rowOff>857880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l="2651" t="24166" b="15603"/>
        <a:stretch/>
      </xdr:blipFill>
      <xdr:spPr>
        <a:xfrm>
          <a:off x="0" y="0"/>
          <a:ext cx="10617120" cy="857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26640</xdr:colOff>
      <xdr:row>0</xdr:row>
      <xdr:rowOff>195480</xdr:rowOff>
    </xdr:from>
    <xdr:to>
      <xdr:col>4</xdr:col>
      <xdr:colOff>413294</xdr:colOff>
      <xdr:row>0</xdr:row>
      <xdr:rowOff>768240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l="2651" t="24166" b="15603"/>
        <a:stretch/>
      </xdr:blipFill>
      <xdr:spPr>
        <a:xfrm>
          <a:off x="26640" y="195480"/>
          <a:ext cx="7426080" cy="572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95400</xdr:rowOff>
    </xdr:from>
    <xdr:to>
      <xdr:col>2</xdr:col>
      <xdr:colOff>1042920</xdr:colOff>
      <xdr:row>0</xdr:row>
      <xdr:rowOff>654480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rcRect l="2651" t="24166" b="15603"/>
        <a:stretch/>
      </xdr:blipFill>
      <xdr:spPr>
        <a:xfrm>
          <a:off x="0" y="95400"/>
          <a:ext cx="6611400" cy="559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1326085</xdr:colOff>
      <xdr:row>0</xdr:row>
      <xdr:rowOff>857880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13764E9-C82E-4F04-855A-B3EF64A868A0}"/>
            </a:ext>
          </a:extLst>
        </xdr:cNvPr>
        <xdr:cNvPicPr/>
      </xdr:nvPicPr>
      <xdr:blipFill>
        <a:blip xmlns:r="http://schemas.openxmlformats.org/officeDocument/2006/relationships" r:embed="rId1"/>
        <a:srcRect l="2651" t="24166" b="15603"/>
        <a:stretch/>
      </xdr:blipFill>
      <xdr:spPr>
        <a:xfrm>
          <a:off x="0" y="0"/>
          <a:ext cx="10121925" cy="857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3" displayName="Tabla3" ref="B15:C24" totalsRowShown="0">
  <autoFilter ref="B15:C24" xr:uid="{00000000-0009-0000-0100-000001000000}"/>
  <tableColumns count="2">
    <tableColumn id="1" xr3:uid="{00000000-0010-0000-0000-000001000000}" name="Columna1"/>
    <tableColumn id="2" xr3:uid="{00000000-0010-0000-0000-000002000000}" name="Columna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zoomScale="67" zoomScaleNormal="67" zoomScaleSheetLayoutView="40" zoomScalePageLayoutView="85" workbookViewId="0">
      <selection activeCell="H88" sqref="H88:H93"/>
    </sheetView>
  </sheetViews>
  <sheetFormatPr baseColWidth="10" defaultColWidth="10.42578125" defaultRowHeight="99.75" customHeight="1" x14ac:dyDescent="0.2"/>
  <cols>
    <col min="1" max="1" width="13" style="1" customWidth="1"/>
    <col min="2" max="2" width="23.28515625" style="1" customWidth="1"/>
    <col min="3" max="3" width="32.5703125" style="1" customWidth="1"/>
    <col min="4" max="4" width="18.140625" style="1" customWidth="1"/>
    <col min="5" max="5" width="19.140625" style="1" customWidth="1"/>
    <col min="6" max="6" width="24.28515625" style="1" customWidth="1"/>
    <col min="7" max="7" width="26.28515625" style="1" customWidth="1"/>
    <col min="8" max="8" width="22.140625" style="1" customWidth="1"/>
    <col min="9" max="9" width="31.5703125" style="2" customWidth="1"/>
    <col min="10" max="10" width="13.7109375" style="1" customWidth="1"/>
    <col min="11" max="11" width="10.85546875" style="1" customWidth="1"/>
    <col min="12" max="12" width="18" style="1" customWidth="1"/>
    <col min="13" max="13" width="6.7109375" style="1" customWidth="1"/>
    <col min="14" max="14" width="14.140625" style="1" customWidth="1"/>
    <col min="15" max="15" width="3.42578125" style="1" hidden="1" customWidth="1"/>
    <col min="16" max="16382" width="10.42578125" style="1"/>
    <col min="16383" max="16383" width="10.42578125" style="3"/>
    <col min="16384" max="16384" width="11.5703125" style="1" customWidth="1"/>
  </cols>
  <sheetData>
    <row r="1" spans="1:15 16383:16384" ht="75.75" customHeight="1" x14ac:dyDescent="0.2">
      <c r="A1" s="68"/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</row>
    <row r="2" spans="1:15 16383:16384" ht="16.5" customHeight="1" x14ac:dyDescent="0.25">
      <c r="A2" s="4"/>
      <c r="I2" s="1"/>
    </row>
    <row r="3" spans="1:15 16383:16384" ht="70.5" customHeight="1" x14ac:dyDescent="0.2">
      <c r="A3" s="65" t="s">
        <v>0</v>
      </c>
      <c r="B3" s="65"/>
      <c r="C3" s="66" t="s">
        <v>1</v>
      </c>
      <c r="D3" s="66"/>
      <c r="E3" s="66"/>
      <c r="F3" s="22"/>
      <c r="G3" s="22"/>
      <c r="H3" s="22"/>
      <c r="I3" s="22"/>
      <c r="J3" s="22"/>
      <c r="K3" s="22"/>
      <c r="L3" s="22"/>
      <c r="M3" s="22"/>
      <c r="N3" s="22"/>
      <c r="O3" s="22"/>
    </row>
    <row r="4" spans="1:15 16383:16384" ht="34.5" customHeight="1" x14ac:dyDescent="0.2">
      <c r="A4" s="65" t="s">
        <v>370</v>
      </c>
      <c r="B4" s="65"/>
      <c r="C4" s="66" t="s">
        <v>3</v>
      </c>
      <c r="D4" s="66"/>
      <c r="E4" s="66"/>
      <c r="F4" s="22"/>
      <c r="G4" s="22"/>
      <c r="H4" s="22"/>
      <c r="I4" s="22"/>
      <c r="J4" s="22"/>
      <c r="K4" s="22"/>
      <c r="L4" s="22"/>
      <c r="M4" s="22"/>
      <c r="N4" s="22"/>
      <c r="O4" s="22"/>
    </row>
    <row r="5" spans="1:15 16383:16384" ht="22.5" customHeight="1" x14ac:dyDescent="0.2">
      <c r="A5" s="65" t="s">
        <v>4</v>
      </c>
      <c r="B5" s="65"/>
      <c r="C5" s="66" t="s">
        <v>5</v>
      </c>
      <c r="D5" s="66"/>
      <c r="E5" s="66"/>
      <c r="F5" s="22"/>
      <c r="G5" s="22"/>
      <c r="H5" s="22"/>
      <c r="I5" s="22"/>
      <c r="J5" s="22"/>
      <c r="K5" s="22"/>
      <c r="L5" s="22"/>
      <c r="M5" s="22"/>
      <c r="N5" s="22"/>
      <c r="O5" s="22"/>
    </row>
    <row r="6" spans="1:15 16383:16384" ht="24" customHeight="1" x14ac:dyDescent="0.2">
      <c r="A6" s="65" t="s">
        <v>6</v>
      </c>
      <c r="B6" s="65"/>
      <c r="C6" s="66" t="s">
        <v>7</v>
      </c>
      <c r="D6" s="66"/>
      <c r="E6" s="66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 16383:16384" ht="22.5" customHeight="1" x14ac:dyDescent="0.2">
      <c r="A7" s="65" t="s">
        <v>8</v>
      </c>
      <c r="B7" s="65"/>
      <c r="C7" s="66" t="s">
        <v>9</v>
      </c>
      <c r="D7" s="66"/>
      <c r="E7" s="66"/>
      <c r="F7" s="22"/>
      <c r="G7" s="22"/>
      <c r="H7" s="22"/>
      <c r="I7" s="22"/>
      <c r="J7" s="22"/>
      <c r="K7" s="22"/>
      <c r="L7" s="22"/>
      <c r="M7" s="22"/>
      <c r="N7" s="22"/>
      <c r="O7" s="22"/>
    </row>
    <row r="8" spans="1:15 16383:16384" ht="33.75" customHeight="1" x14ac:dyDescent="0.2">
      <c r="A8" s="65" t="s">
        <v>10</v>
      </c>
      <c r="B8" s="65"/>
      <c r="C8" s="66" t="s">
        <v>11</v>
      </c>
      <c r="D8" s="66"/>
      <c r="E8" s="66"/>
      <c r="F8" s="22"/>
      <c r="G8" s="22"/>
      <c r="H8" s="22"/>
      <c r="I8" s="22"/>
      <c r="J8" s="22"/>
      <c r="K8" s="22"/>
      <c r="L8" s="22"/>
      <c r="M8" s="22"/>
      <c r="N8" s="22"/>
      <c r="O8" s="22"/>
    </row>
    <row r="9" spans="1:15 16383:16384" ht="26.25" customHeight="1" x14ac:dyDescent="0.2">
      <c r="A9" s="65" t="s">
        <v>12</v>
      </c>
      <c r="B9" s="65"/>
      <c r="C9" s="66" t="s">
        <v>13</v>
      </c>
      <c r="D9" s="66"/>
      <c r="E9" s="66"/>
      <c r="F9" s="22"/>
      <c r="G9" s="22"/>
      <c r="H9" s="22"/>
      <c r="I9" s="22"/>
      <c r="J9" s="22"/>
      <c r="K9" s="22"/>
      <c r="L9" s="22"/>
      <c r="M9" s="22"/>
      <c r="N9" s="22"/>
      <c r="O9" s="22"/>
    </row>
    <row r="10" spans="1:15 16383:16384" ht="68.25" customHeight="1" x14ac:dyDescent="0.2">
      <c r="A10" s="65" t="s">
        <v>14</v>
      </c>
      <c r="B10" s="65"/>
      <c r="C10" s="67" t="s">
        <v>15</v>
      </c>
      <c r="D10" s="67"/>
      <c r="E10" s="67"/>
      <c r="F10" s="22"/>
      <c r="G10" s="22"/>
      <c r="H10" s="22"/>
      <c r="I10" s="22"/>
      <c r="J10" s="22"/>
      <c r="K10" s="22"/>
      <c r="L10" s="22"/>
      <c r="M10" s="22"/>
      <c r="N10" s="22"/>
      <c r="O10" s="22"/>
    </row>
    <row r="11" spans="1:15 16383:16384" ht="18.75" customHeight="1" x14ac:dyDescent="0.25">
      <c r="A11" s="60"/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</row>
    <row r="12" spans="1:15 16383:16384" ht="31.5" customHeight="1" x14ac:dyDescent="0.25">
      <c r="A12" s="61" t="s">
        <v>17</v>
      </c>
      <c r="B12" s="61"/>
      <c r="C12" s="61"/>
      <c r="D12" s="61"/>
      <c r="E12" s="62" t="s">
        <v>18</v>
      </c>
      <c r="F12" s="62"/>
      <c r="G12" s="62"/>
      <c r="H12" s="62"/>
      <c r="I12" s="63" t="s">
        <v>19</v>
      </c>
      <c r="J12" s="63"/>
      <c r="K12" s="63"/>
      <c r="L12" s="63"/>
      <c r="M12" s="63"/>
      <c r="N12" s="63"/>
      <c r="O12" s="63"/>
    </row>
    <row r="13" spans="1:15 16383:16384" s="4" customFormat="1" ht="91.5" customHeight="1" x14ac:dyDescent="0.25">
      <c r="A13" s="23" t="s">
        <v>20</v>
      </c>
      <c r="B13" s="23" t="s">
        <v>21</v>
      </c>
      <c r="C13" s="23" t="s">
        <v>22</v>
      </c>
      <c r="D13" s="23" t="s">
        <v>23</v>
      </c>
      <c r="E13" s="24" t="s">
        <v>24</v>
      </c>
      <c r="F13" s="24" t="s">
        <v>21</v>
      </c>
      <c r="G13" s="24" t="s">
        <v>25</v>
      </c>
      <c r="H13" s="24" t="s">
        <v>23</v>
      </c>
      <c r="I13" s="25" t="s">
        <v>26</v>
      </c>
      <c r="J13" s="25" t="s">
        <v>27</v>
      </c>
      <c r="K13" s="31" t="s">
        <v>28</v>
      </c>
      <c r="L13" s="25" t="s">
        <v>29</v>
      </c>
      <c r="M13" s="35" t="s">
        <v>30</v>
      </c>
      <c r="N13" s="25" t="s">
        <v>31</v>
      </c>
      <c r="O13" s="26" t="s">
        <v>32</v>
      </c>
      <c r="XFC13" s="3"/>
      <c r="XFD13" s="1"/>
    </row>
    <row r="14" spans="1:15 16383:16384" ht="43.5" customHeight="1" x14ac:dyDescent="0.2">
      <c r="A14" s="64" t="s">
        <v>33</v>
      </c>
      <c r="B14" s="49" t="s">
        <v>289</v>
      </c>
      <c r="C14" s="49" t="s">
        <v>290</v>
      </c>
      <c r="D14" s="49" t="s">
        <v>291</v>
      </c>
      <c r="E14" s="50" t="s">
        <v>34</v>
      </c>
      <c r="F14" s="51" t="s">
        <v>292</v>
      </c>
      <c r="G14" s="51" t="s">
        <v>293</v>
      </c>
      <c r="H14" s="52" t="s">
        <v>294</v>
      </c>
      <c r="I14" s="27" t="s">
        <v>35</v>
      </c>
      <c r="J14" s="47" t="s">
        <v>36</v>
      </c>
      <c r="K14" s="47">
        <v>5</v>
      </c>
      <c r="L14" s="47" t="s">
        <v>37</v>
      </c>
      <c r="M14" s="47">
        <v>1</v>
      </c>
      <c r="N14" s="47" t="s">
        <v>38</v>
      </c>
      <c r="O14" s="47"/>
    </row>
    <row r="15" spans="1:15 16383:16384" ht="69.75" customHeight="1" x14ac:dyDescent="0.2">
      <c r="A15" s="64"/>
      <c r="B15" s="49"/>
      <c r="C15" s="49"/>
      <c r="D15" s="49"/>
      <c r="E15" s="49"/>
      <c r="F15" s="51"/>
      <c r="G15" s="51"/>
      <c r="H15" s="52"/>
      <c r="I15" s="27" t="s">
        <v>39</v>
      </c>
      <c r="J15" s="47"/>
      <c r="K15" s="47"/>
      <c r="L15" s="47"/>
      <c r="M15" s="47"/>
      <c r="N15" s="47"/>
      <c r="O15" s="47"/>
    </row>
    <row r="16" spans="1:15 16383:16384" ht="61.5" customHeight="1" x14ac:dyDescent="0.2">
      <c r="A16" s="64"/>
      <c r="B16" s="49"/>
      <c r="C16" s="49"/>
      <c r="D16" s="49"/>
      <c r="E16" s="49"/>
      <c r="F16" s="51"/>
      <c r="G16" s="51"/>
      <c r="H16" s="52"/>
      <c r="I16" s="27" t="s">
        <v>40</v>
      </c>
      <c r="J16" s="47"/>
      <c r="K16" s="47"/>
      <c r="L16" s="47"/>
      <c r="M16" s="47"/>
      <c r="N16" s="47"/>
      <c r="O16" s="47"/>
    </row>
    <row r="17" spans="1:19" ht="60" customHeight="1" x14ac:dyDescent="0.2">
      <c r="A17" s="64"/>
      <c r="B17" s="49"/>
      <c r="C17" s="49"/>
      <c r="D17" s="49"/>
      <c r="E17" s="49"/>
      <c r="F17" s="51"/>
      <c r="G17" s="51"/>
      <c r="H17" s="52"/>
      <c r="I17" s="27" t="s">
        <v>41</v>
      </c>
      <c r="J17" s="47"/>
      <c r="K17" s="47"/>
      <c r="L17" s="47"/>
      <c r="M17" s="47"/>
      <c r="N17" s="47"/>
      <c r="O17" s="47"/>
    </row>
    <row r="18" spans="1:19" ht="56.25" customHeight="1" x14ac:dyDescent="0.2">
      <c r="A18" s="64"/>
      <c r="B18" s="49"/>
      <c r="C18" s="49"/>
      <c r="D18" s="49"/>
      <c r="E18" s="50" t="s">
        <v>42</v>
      </c>
      <c r="F18" s="49" t="s">
        <v>289</v>
      </c>
      <c r="G18" s="49" t="s">
        <v>295</v>
      </c>
      <c r="H18" s="49" t="s">
        <v>296</v>
      </c>
      <c r="I18" s="27" t="s">
        <v>43</v>
      </c>
      <c r="J18" s="47" t="s">
        <v>36</v>
      </c>
      <c r="K18" s="47">
        <v>5</v>
      </c>
      <c r="L18" s="47" t="s">
        <v>34</v>
      </c>
      <c r="M18" s="47">
        <v>1</v>
      </c>
      <c r="N18" s="47" t="s">
        <v>38</v>
      </c>
      <c r="O18" s="47"/>
    </row>
    <row r="19" spans="1:19" ht="90" customHeight="1" x14ac:dyDescent="0.2">
      <c r="A19" s="64"/>
      <c r="B19" s="49"/>
      <c r="C19" s="49"/>
      <c r="D19" s="49"/>
      <c r="E19" s="49"/>
      <c r="F19" s="49"/>
      <c r="G19" s="49"/>
      <c r="H19" s="49"/>
      <c r="I19" s="27" t="s">
        <v>44</v>
      </c>
      <c r="J19" s="47"/>
      <c r="K19" s="47"/>
      <c r="L19" s="47"/>
      <c r="M19" s="47"/>
      <c r="N19" s="47"/>
      <c r="O19" s="47"/>
    </row>
    <row r="20" spans="1:19" ht="39.75" customHeight="1" x14ac:dyDescent="0.2">
      <c r="A20" s="64"/>
      <c r="B20" s="49"/>
      <c r="C20" s="49"/>
      <c r="D20" s="49"/>
      <c r="E20" s="49"/>
      <c r="F20" s="49"/>
      <c r="G20" s="49"/>
      <c r="H20" s="49"/>
      <c r="I20" s="27" t="s">
        <v>45</v>
      </c>
      <c r="J20" s="47"/>
      <c r="K20" s="47"/>
      <c r="L20" s="47"/>
      <c r="M20" s="47"/>
      <c r="N20" s="47"/>
      <c r="O20" s="47"/>
    </row>
    <row r="21" spans="1:19" ht="49.5" customHeight="1" x14ac:dyDescent="0.2">
      <c r="A21" s="64"/>
      <c r="B21" s="49"/>
      <c r="C21" s="49"/>
      <c r="D21" s="49"/>
      <c r="E21" s="50" t="s">
        <v>46</v>
      </c>
      <c r="F21" s="51" t="s">
        <v>292</v>
      </c>
      <c r="G21" s="51" t="s">
        <v>297</v>
      </c>
      <c r="H21" s="51" t="s">
        <v>298</v>
      </c>
      <c r="I21" s="27" t="s">
        <v>47</v>
      </c>
      <c r="J21" s="47" t="s">
        <v>48</v>
      </c>
      <c r="K21" s="47">
        <v>3</v>
      </c>
      <c r="L21" s="47" t="s">
        <v>34</v>
      </c>
      <c r="M21" s="47">
        <v>1</v>
      </c>
      <c r="N21" s="47" t="s">
        <v>38</v>
      </c>
      <c r="O21" s="47"/>
    </row>
    <row r="22" spans="1:19" ht="55.5" customHeight="1" x14ac:dyDescent="0.25">
      <c r="A22" s="64"/>
      <c r="B22" s="49"/>
      <c r="C22" s="49"/>
      <c r="D22" s="49"/>
      <c r="E22" s="49"/>
      <c r="F22" s="51"/>
      <c r="G22" s="51"/>
      <c r="H22" s="51"/>
      <c r="I22" s="27" t="s">
        <v>49</v>
      </c>
      <c r="J22" s="47"/>
      <c r="K22" s="47"/>
      <c r="L22" s="47"/>
      <c r="M22" s="47"/>
      <c r="N22" s="47"/>
      <c r="O22" s="47"/>
      <c r="S22" s="4"/>
    </row>
    <row r="23" spans="1:19" ht="35.25" customHeight="1" x14ac:dyDescent="0.2">
      <c r="A23" s="64"/>
      <c r="B23" s="49"/>
      <c r="C23" s="49"/>
      <c r="D23" s="49"/>
      <c r="E23" s="49"/>
      <c r="F23" s="51"/>
      <c r="G23" s="51"/>
      <c r="H23" s="51"/>
      <c r="I23" s="27" t="s">
        <v>50</v>
      </c>
      <c r="J23" s="47"/>
      <c r="K23" s="47"/>
      <c r="L23" s="47"/>
      <c r="M23" s="47"/>
      <c r="N23" s="47"/>
      <c r="O23" s="47"/>
    </row>
    <row r="24" spans="1:19" ht="42" customHeight="1" x14ac:dyDescent="0.2">
      <c r="A24" s="59" t="s">
        <v>51</v>
      </c>
      <c r="B24" s="49" t="s">
        <v>299</v>
      </c>
      <c r="C24" s="49" t="s">
        <v>300</v>
      </c>
      <c r="D24" s="51" t="s">
        <v>301</v>
      </c>
      <c r="E24" s="50" t="s">
        <v>52</v>
      </c>
      <c r="F24" s="51" t="s">
        <v>302</v>
      </c>
      <c r="G24" s="51" t="s">
        <v>303</v>
      </c>
      <c r="H24" s="51" t="s">
        <v>304</v>
      </c>
      <c r="I24" s="27" t="s">
        <v>53</v>
      </c>
      <c r="J24" s="47" t="s">
        <v>36</v>
      </c>
      <c r="K24" s="47">
        <v>8</v>
      </c>
      <c r="L24" s="47" t="s">
        <v>34</v>
      </c>
      <c r="M24" s="47">
        <v>2</v>
      </c>
      <c r="N24" s="47" t="s">
        <v>38</v>
      </c>
      <c r="O24" s="47"/>
    </row>
    <row r="25" spans="1:19" ht="90" customHeight="1" x14ac:dyDescent="0.2">
      <c r="A25" s="59"/>
      <c r="B25" s="49"/>
      <c r="C25" s="49"/>
      <c r="D25" s="51"/>
      <c r="E25" s="50"/>
      <c r="F25" s="51"/>
      <c r="G25" s="51"/>
      <c r="H25" s="51"/>
      <c r="I25" s="27" t="s">
        <v>54</v>
      </c>
      <c r="J25" s="47"/>
      <c r="K25" s="47"/>
      <c r="L25" s="47"/>
      <c r="M25" s="47"/>
      <c r="N25" s="47"/>
      <c r="O25" s="47"/>
    </row>
    <row r="26" spans="1:19" ht="44.25" customHeight="1" x14ac:dyDescent="0.2">
      <c r="A26" s="59"/>
      <c r="B26" s="49"/>
      <c r="C26" s="49"/>
      <c r="D26" s="51"/>
      <c r="E26" s="50"/>
      <c r="F26" s="51"/>
      <c r="G26" s="51"/>
      <c r="H26" s="51"/>
      <c r="I26" s="27" t="s">
        <v>55</v>
      </c>
      <c r="J26" s="47"/>
      <c r="K26" s="47"/>
      <c r="L26" s="47"/>
      <c r="M26" s="47"/>
      <c r="N26" s="47"/>
      <c r="O26" s="47"/>
    </row>
    <row r="27" spans="1:19" ht="47.25" customHeight="1" x14ac:dyDescent="0.2">
      <c r="A27" s="59"/>
      <c r="B27" s="49"/>
      <c r="C27" s="49"/>
      <c r="D27" s="51"/>
      <c r="E27" s="50"/>
      <c r="F27" s="51"/>
      <c r="G27" s="51"/>
      <c r="H27" s="51"/>
      <c r="I27" s="27" t="s">
        <v>56</v>
      </c>
      <c r="J27" s="47"/>
      <c r="K27" s="47"/>
      <c r="L27" s="47"/>
      <c r="M27" s="47"/>
      <c r="N27" s="47"/>
      <c r="O27" s="47"/>
    </row>
    <row r="28" spans="1:19" ht="39.75" customHeight="1" x14ac:dyDescent="0.2">
      <c r="A28" s="59"/>
      <c r="B28" s="49"/>
      <c r="C28" s="49"/>
      <c r="D28" s="51"/>
      <c r="E28" s="50"/>
      <c r="F28" s="51"/>
      <c r="G28" s="51"/>
      <c r="H28" s="51"/>
      <c r="I28" s="27" t="s">
        <v>57</v>
      </c>
      <c r="J28" s="47"/>
      <c r="K28" s="47"/>
      <c r="L28" s="47"/>
      <c r="M28" s="47"/>
      <c r="N28" s="47"/>
      <c r="O28" s="47"/>
    </row>
    <row r="29" spans="1:19" ht="45.75" customHeight="1" x14ac:dyDescent="0.2">
      <c r="A29" s="59"/>
      <c r="B29" s="49"/>
      <c r="C29" s="49"/>
      <c r="D29" s="51"/>
      <c r="E29" s="50" t="s">
        <v>58</v>
      </c>
      <c r="F29" s="51" t="s">
        <v>302</v>
      </c>
      <c r="G29" s="51" t="s">
        <v>305</v>
      </c>
      <c r="H29" s="51" t="s">
        <v>306</v>
      </c>
      <c r="I29" s="27" t="s">
        <v>59</v>
      </c>
      <c r="J29" s="47" t="s">
        <v>36</v>
      </c>
      <c r="K29" s="47">
        <v>5</v>
      </c>
      <c r="L29" s="47" t="s">
        <v>52</v>
      </c>
      <c r="M29" s="47">
        <v>2</v>
      </c>
      <c r="N29" s="47" t="s">
        <v>38</v>
      </c>
      <c r="O29" s="47"/>
    </row>
    <row r="30" spans="1:19" ht="48.75" customHeight="1" x14ac:dyDescent="0.2">
      <c r="A30" s="59"/>
      <c r="B30" s="49"/>
      <c r="C30" s="49"/>
      <c r="D30" s="51"/>
      <c r="E30" s="51"/>
      <c r="F30" s="51"/>
      <c r="G30" s="51"/>
      <c r="H30" s="51"/>
      <c r="I30" s="27" t="s">
        <v>60</v>
      </c>
      <c r="J30" s="47"/>
      <c r="K30" s="47"/>
      <c r="L30" s="47"/>
      <c r="M30" s="47"/>
      <c r="N30" s="47"/>
      <c r="O30" s="47"/>
    </row>
    <row r="31" spans="1:19" ht="43.5" customHeight="1" x14ac:dyDescent="0.2">
      <c r="A31" s="59"/>
      <c r="B31" s="49"/>
      <c r="C31" s="49"/>
      <c r="D31" s="51"/>
      <c r="E31" s="51"/>
      <c r="F31" s="51"/>
      <c r="G31" s="51"/>
      <c r="H31" s="51"/>
      <c r="I31" s="28" t="s">
        <v>61</v>
      </c>
      <c r="J31" s="47"/>
      <c r="K31" s="47"/>
      <c r="L31" s="47"/>
      <c r="M31" s="47"/>
      <c r="N31" s="47"/>
      <c r="O31" s="47"/>
    </row>
    <row r="32" spans="1:19" ht="63" customHeight="1" x14ac:dyDescent="0.2">
      <c r="A32" s="59"/>
      <c r="B32" s="49"/>
      <c r="C32" s="49"/>
      <c r="D32" s="51"/>
      <c r="E32" s="50" t="s">
        <v>62</v>
      </c>
      <c r="F32" s="51" t="s">
        <v>302</v>
      </c>
      <c r="G32" s="51" t="s">
        <v>307</v>
      </c>
      <c r="H32" s="51" t="s">
        <v>308</v>
      </c>
      <c r="I32" s="27" t="s">
        <v>63</v>
      </c>
      <c r="J32" s="47" t="s">
        <v>48</v>
      </c>
      <c r="K32" s="47">
        <v>5</v>
      </c>
      <c r="L32" s="47" t="s">
        <v>52</v>
      </c>
      <c r="M32" s="47">
        <v>2</v>
      </c>
      <c r="N32" s="47" t="s">
        <v>38</v>
      </c>
      <c r="O32" s="47"/>
    </row>
    <row r="33" spans="1:15" ht="58.5" customHeight="1" x14ac:dyDescent="0.2">
      <c r="A33" s="59"/>
      <c r="B33" s="49"/>
      <c r="C33" s="49"/>
      <c r="D33" s="51"/>
      <c r="E33" s="51"/>
      <c r="F33" s="51"/>
      <c r="G33" s="51"/>
      <c r="H33" s="51"/>
      <c r="I33" s="28" t="s">
        <v>64</v>
      </c>
      <c r="J33" s="47"/>
      <c r="K33" s="47"/>
      <c r="L33" s="47"/>
      <c r="M33" s="47"/>
      <c r="N33" s="47"/>
      <c r="O33" s="47"/>
    </row>
    <row r="34" spans="1:15" ht="44.25" customHeight="1" x14ac:dyDescent="0.2">
      <c r="A34" s="59"/>
      <c r="B34" s="49"/>
      <c r="C34" s="49"/>
      <c r="D34" s="51"/>
      <c r="E34" s="51"/>
      <c r="F34" s="51"/>
      <c r="G34" s="51"/>
      <c r="H34" s="51"/>
      <c r="I34" s="28" t="s">
        <v>65</v>
      </c>
      <c r="J34" s="47"/>
      <c r="K34" s="47"/>
      <c r="L34" s="47"/>
      <c r="M34" s="47"/>
      <c r="N34" s="47"/>
      <c r="O34" s="47"/>
    </row>
    <row r="35" spans="1:15" ht="60" customHeight="1" x14ac:dyDescent="0.2">
      <c r="A35" s="59"/>
      <c r="B35" s="49"/>
      <c r="C35" s="49"/>
      <c r="D35" s="51"/>
      <c r="E35" s="50" t="s">
        <v>66</v>
      </c>
      <c r="F35" s="51" t="s">
        <v>309</v>
      </c>
      <c r="G35" s="51" t="s">
        <v>310</v>
      </c>
      <c r="H35" s="51" t="s">
        <v>311</v>
      </c>
      <c r="I35" s="28" t="s">
        <v>67</v>
      </c>
      <c r="J35" s="47" t="s">
        <v>48</v>
      </c>
      <c r="K35" s="47">
        <v>3</v>
      </c>
      <c r="L35" s="47" t="s">
        <v>52</v>
      </c>
      <c r="M35" s="47">
        <v>2</v>
      </c>
      <c r="N35" s="47" t="s">
        <v>38</v>
      </c>
      <c r="O35" s="47"/>
    </row>
    <row r="36" spans="1:15" ht="72.75" customHeight="1" x14ac:dyDescent="0.2">
      <c r="A36" s="59"/>
      <c r="B36" s="49"/>
      <c r="C36" s="49"/>
      <c r="D36" s="51"/>
      <c r="E36" s="51"/>
      <c r="F36" s="51"/>
      <c r="G36" s="51"/>
      <c r="H36" s="51"/>
      <c r="I36" s="28" t="s">
        <v>68</v>
      </c>
      <c r="J36" s="47"/>
      <c r="K36" s="47"/>
      <c r="L36" s="47"/>
      <c r="M36" s="47"/>
      <c r="N36" s="47"/>
      <c r="O36" s="47"/>
    </row>
    <row r="37" spans="1:15" ht="60" customHeight="1" x14ac:dyDescent="0.2">
      <c r="A37" s="59"/>
      <c r="B37" s="49"/>
      <c r="C37" s="49"/>
      <c r="D37" s="51"/>
      <c r="E37" s="51"/>
      <c r="F37" s="51"/>
      <c r="G37" s="51"/>
      <c r="H37" s="51"/>
      <c r="I37" s="28" t="s">
        <v>69</v>
      </c>
      <c r="J37" s="47"/>
      <c r="K37" s="47"/>
      <c r="L37" s="47"/>
      <c r="M37" s="47"/>
      <c r="N37" s="47"/>
      <c r="O37" s="47"/>
    </row>
    <row r="38" spans="1:15" ht="39" customHeight="1" x14ac:dyDescent="0.2">
      <c r="A38" s="58" t="s">
        <v>70</v>
      </c>
      <c r="B38" s="51" t="s">
        <v>302</v>
      </c>
      <c r="C38" s="51" t="s">
        <v>312</v>
      </c>
      <c r="D38" s="51" t="s">
        <v>313</v>
      </c>
      <c r="E38" s="50" t="s">
        <v>71</v>
      </c>
      <c r="F38" s="51" t="s">
        <v>314</v>
      </c>
      <c r="G38" s="51" t="s">
        <v>315</v>
      </c>
      <c r="H38" s="51" t="s">
        <v>316</v>
      </c>
      <c r="I38" s="27" t="s">
        <v>72</v>
      </c>
      <c r="J38" s="47" t="s">
        <v>36</v>
      </c>
      <c r="K38" s="47">
        <v>5</v>
      </c>
      <c r="L38" s="47" t="s">
        <v>52</v>
      </c>
      <c r="M38" s="47">
        <v>3</v>
      </c>
      <c r="N38" s="47" t="s">
        <v>38</v>
      </c>
      <c r="O38" s="47"/>
    </row>
    <row r="39" spans="1:15" ht="110.25" customHeight="1" x14ac:dyDescent="0.2">
      <c r="A39" s="58"/>
      <c r="B39" s="51"/>
      <c r="C39" s="51"/>
      <c r="D39" s="51"/>
      <c r="E39" s="51"/>
      <c r="F39" s="51"/>
      <c r="G39" s="51"/>
      <c r="H39" s="51"/>
      <c r="I39" s="28" t="s">
        <v>73</v>
      </c>
      <c r="J39" s="47"/>
      <c r="K39" s="47"/>
      <c r="L39" s="47"/>
      <c r="M39" s="47"/>
      <c r="N39" s="47"/>
      <c r="O39" s="47"/>
    </row>
    <row r="40" spans="1:15" ht="39" customHeight="1" x14ac:dyDescent="0.2">
      <c r="A40" s="58"/>
      <c r="B40" s="51"/>
      <c r="C40" s="51"/>
      <c r="D40" s="51"/>
      <c r="E40" s="51"/>
      <c r="F40" s="51"/>
      <c r="G40" s="51"/>
      <c r="H40" s="51"/>
      <c r="I40" s="28" t="s">
        <v>74</v>
      </c>
      <c r="J40" s="47"/>
      <c r="K40" s="47"/>
      <c r="L40" s="47"/>
      <c r="M40" s="47"/>
      <c r="N40" s="47"/>
      <c r="O40" s="47"/>
    </row>
    <row r="41" spans="1:15" ht="51.75" customHeight="1" x14ac:dyDescent="0.2">
      <c r="A41" s="58"/>
      <c r="B41" s="51"/>
      <c r="C41" s="51"/>
      <c r="D41" s="51"/>
      <c r="E41" s="50" t="s">
        <v>75</v>
      </c>
      <c r="F41" s="51" t="s">
        <v>302</v>
      </c>
      <c r="G41" s="51" t="s">
        <v>317</v>
      </c>
      <c r="H41" s="51" t="s">
        <v>318</v>
      </c>
      <c r="I41" s="27" t="s">
        <v>76</v>
      </c>
      <c r="J41" s="47" t="s">
        <v>48</v>
      </c>
      <c r="K41" s="47">
        <v>5</v>
      </c>
      <c r="L41" s="47" t="s">
        <v>71</v>
      </c>
      <c r="M41" s="47">
        <v>3</v>
      </c>
      <c r="N41" s="47" t="s">
        <v>38</v>
      </c>
      <c r="O41" s="47"/>
    </row>
    <row r="42" spans="1:15" ht="60" customHeight="1" x14ac:dyDescent="0.2">
      <c r="A42" s="58"/>
      <c r="B42" s="51"/>
      <c r="C42" s="51"/>
      <c r="D42" s="51"/>
      <c r="E42" s="51"/>
      <c r="F42" s="51"/>
      <c r="G42" s="51"/>
      <c r="H42" s="51"/>
      <c r="I42" s="28" t="s">
        <v>77</v>
      </c>
      <c r="J42" s="47"/>
      <c r="K42" s="47"/>
      <c r="L42" s="47"/>
      <c r="M42" s="47"/>
      <c r="N42" s="47"/>
      <c r="O42" s="47"/>
    </row>
    <row r="43" spans="1:15" ht="76.5" customHeight="1" x14ac:dyDescent="0.2">
      <c r="A43" s="58"/>
      <c r="B43" s="51"/>
      <c r="C43" s="51"/>
      <c r="D43" s="51"/>
      <c r="E43" s="51"/>
      <c r="F43" s="51"/>
      <c r="G43" s="51"/>
      <c r="H43" s="51"/>
      <c r="I43" s="28" t="s">
        <v>78</v>
      </c>
      <c r="J43" s="47"/>
      <c r="K43" s="47"/>
      <c r="L43" s="47"/>
      <c r="M43" s="47"/>
      <c r="N43" s="47"/>
      <c r="O43" s="47"/>
    </row>
    <row r="44" spans="1:15" ht="64.5" customHeight="1" x14ac:dyDescent="0.2">
      <c r="A44" s="58"/>
      <c r="B44" s="51"/>
      <c r="C44" s="51"/>
      <c r="D44" s="51"/>
      <c r="E44" s="50" t="s">
        <v>79</v>
      </c>
      <c r="F44" s="51" t="s">
        <v>309</v>
      </c>
      <c r="G44" s="51" t="s">
        <v>319</v>
      </c>
      <c r="H44" s="51" t="s">
        <v>320</v>
      </c>
      <c r="I44" s="27" t="s">
        <v>80</v>
      </c>
      <c r="J44" s="47" t="s">
        <v>48</v>
      </c>
      <c r="K44" s="47">
        <v>3</v>
      </c>
      <c r="L44" s="47" t="s">
        <v>52</v>
      </c>
      <c r="M44" s="47">
        <v>3</v>
      </c>
      <c r="N44" s="47" t="s">
        <v>38</v>
      </c>
      <c r="O44" s="47"/>
    </row>
    <row r="45" spans="1:15" ht="63" customHeight="1" x14ac:dyDescent="0.2">
      <c r="A45" s="58"/>
      <c r="B45" s="51"/>
      <c r="C45" s="51"/>
      <c r="D45" s="51"/>
      <c r="E45" s="51"/>
      <c r="F45" s="51"/>
      <c r="G45" s="51"/>
      <c r="H45" s="51"/>
      <c r="I45" s="27" t="s">
        <v>81</v>
      </c>
      <c r="J45" s="47"/>
      <c r="K45" s="47"/>
      <c r="L45" s="47"/>
      <c r="M45" s="47"/>
      <c r="N45" s="47"/>
      <c r="O45" s="47"/>
    </row>
    <row r="46" spans="1:15" ht="65.25" customHeight="1" x14ac:dyDescent="0.2">
      <c r="A46" s="58"/>
      <c r="B46" s="51"/>
      <c r="C46" s="51"/>
      <c r="D46" s="51"/>
      <c r="E46" s="51"/>
      <c r="F46" s="51"/>
      <c r="G46" s="51"/>
      <c r="H46" s="51"/>
      <c r="I46" s="27" t="s">
        <v>82</v>
      </c>
      <c r="J46" s="47"/>
      <c r="K46" s="47"/>
      <c r="L46" s="47"/>
      <c r="M46" s="47"/>
      <c r="N46" s="47"/>
      <c r="O46" s="47"/>
    </row>
    <row r="47" spans="1:15" ht="60" customHeight="1" x14ac:dyDescent="0.2">
      <c r="A47" s="58"/>
      <c r="B47" s="51"/>
      <c r="C47" s="51"/>
      <c r="D47" s="51"/>
      <c r="E47" s="51"/>
      <c r="F47" s="51"/>
      <c r="G47" s="51"/>
      <c r="H47" s="51"/>
      <c r="I47" s="27" t="s">
        <v>83</v>
      </c>
      <c r="J47" s="47"/>
      <c r="K47" s="47"/>
      <c r="L47" s="47"/>
      <c r="M47" s="47"/>
      <c r="N47" s="47"/>
      <c r="O47" s="47"/>
    </row>
    <row r="48" spans="1:15" ht="51.75" customHeight="1" x14ac:dyDescent="0.2">
      <c r="A48" s="58"/>
      <c r="B48" s="51"/>
      <c r="C48" s="51"/>
      <c r="D48" s="51"/>
      <c r="E48" s="51"/>
      <c r="F48" s="51"/>
      <c r="G48" s="51"/>
      <c r="H48" s="51"/>
      <c r="I48" s="27" t="s">
        <v>84</v>
      </c>
      <c r="J48" s="47"/>
      <c r="K48" s="47"/>
      <c r="L48" s="47"/>
      <c r="M48" s="47"/>
      <c r="N48" s="47"/>
      <c r="O48" s="47"/>
    </row>
    <row r="49" spans="1:15" ht="49.5" customHeight="1" x14ac:dyDescent="0.2">
      <c r="A49" s="58"/>
      <c r="B49" s="51"/>
      <c r="C49" s="51"/>
      <c r="D49" s="51"/>
      <c r="E49" s="51"/>
      <c r="F49" s="51"/>
      <c r="G49" s="51"/>
      <c r="H49" s="51"/>
      <c r="I49" s="27" t="s">
        <v>85</v>
      </c>
      <c r="J49" s="47"/>
      <c r="K49" s="47"/>
      <c r="L49" s="47"/>
      <c r="M49" s="47"/>
      <c r="N49" s="47"/>
      <c r="O49" s="47"/>
    </row>
    <row r="50" spans="1:15" ht="62.25" customHeight="1" x14ac:dyDescent="0.2">
      <c r="A50" s="58"/>
      <c r="B50" s="51"/>
      <c r="C50" s="51"/>
      <c r="D50" s="51"/>
      <c r="E50" s="50" t="s">
        <v>86</v>
      </c>
      <c r="F50" s="51" t="s">
        <v>321</v>
      </c>
      <c r="G50" s="51" t="s">
        <v>322</v>
      </c>
      <c r="H50" s="51" t="s">
        <v>323</v>
      </c>
      <c r="I50" s="28" t="s">
        <v>87</v>
      </c>
      <c r="J50" s="47" t="s">
        <v>88</v>
      </c>
      <c r="K50" s="47">
        <v>3</v>
      </c>
      <c r="L50" s="47" t="s">
        <v>34</v>
      </c>
      <c r="M50" s="47">
        <v>3</v>
      </c>
      <c r="N50" s="47" t="s">
        <v>38</v>
      </c>
      <c r="O50" s="47"/>
    </row>
    <row r="51" spans="1:15" ht="54.75" customHeight="1" x14ac:dyDescent="0.2">
      <c r="A51" s="58"/>
      <c r="B51" s="51"/>
      <c r="C51" s="51"/>
      <c r="D51" s="51"/>
      <c r="E51" s="51"/>
      <c r="F51" s="51"/>
      <c r="G51" s="51"/>
      <c r="H51" s="51"/>
      <c r="I51" s="28" t="s">
        <v>89</v>
      </c>
      <c r="J51" s="47"/>
      <c r="K51" s="47"/>
      <c r="L51" s="47"/>
      <c r="M51" s="47"/>
      <c r="N51" s="47"/>
      <c r="O51" s="47"/>
    </row>
    <row r="52" spans="1:15" ht="69" customHeight="1" x14ac:dyDescent="0.2">
      <c r="A52" s="58"/>
      <c r="B52" s="51"/>
      <c r="C52" s="51"/>
      <c r="D52" s="51"/>
      <c r="E52" s="51"/>
      <c r="F52" s="51"/>
      <c r="G52" s="51"/>
      <c r="H52" s="51"/>
      <c r="I52" s="28" t="s">
        <v>90</v>
      </c>
      <c r="J52" s="47"/>
      <c r="K52" s="47"/>
      <c r="L52" s="47"/>
      <c r="M52" s="47"/>
      <c r="N52" s="47"/>
      <c r="O52" s="47"/>
    </row>
    <row r="53" spans="1:15" ht="54" customHeight="1" x14ac:dyDescent="0.2">
      <c r="A53" s="58"/>
      <c r="B53" s="51"/>
      <c r="C53" s="51"/>
      <c r="D53" s="51"/>
      <c r="E53" s="51"/>
      <c r="F53" s="51"/>
      <c r="G53" s="51"/>
      <c r="H53" s="51"/>
      <c r="I53" s="28" t="s">
        <v>91</v>
      </c>
      <c r="J53" s="47"/>
      <c r="K53" s="47"/>
      <c r="L53" s="47"/>
      <c r="M53" s="47"/>
      <c r="N53" s="47"/>
      <c r="O53" s="47"/>
    </row>
    <row r="54" spans="1:15" ht="69.75" customHeight="1" x14ac:dyDescent="0.2">
      <c r="A54" s="58"/>
      <c r="B54" s="51"/>
      <c r="C54" s="51"/>
      <c r="D54" s="51"/>
      <c r="E54" s="51"/>
      <c r="F54" s="51"/>
      <c r="G54" s="51"/>
      <c r="H54" s="51"/>
      <c r="I54" s="28" t="s">
        <v>92</v>
      </c>
      <c r="J54" s="47"/>
      <c r="K54" s="47"/>
      <c r="L54" s="47"/>
      <c r="M54" s="47"/>
      <c r="N54" s="47"/>
      <c r="O54" s="47"/>
    </row>
    <row r="55" spans="1:15" ht="63" customHeight="1" x14ac:dyDescent="0.2">
      <c r="A55" s="57" t="s">
        <v>93</v>
      </c>
      <c r="B55" s="51" t="s">
        <v>324</v>
      </c>
      <c r="C55" s="51" t="s">
        <v>325</v>
      </c>
      <c r="D55" s="51" t="s">
        <v>326</v>
      </c>
      <c r="E55" s="50" t="s">
        <v>94</v>
      </c>
      <c r="F55" s="51" t="s">
        <v>327</v>
      </c>
      <c r="G55" s="51" t="s">
        <v>328</v>
      </c>
      <c r="H55" s="51" t="s">
        <v>329</v>
      </c>
      <c r="I55" s="27" t="s">
        <v>95</v>
      </c>
      <c r="J55" s="47" t="s">
        <v>36</v>
      </c>
      <c r="K55" s="47">
        <v>8</v>
      </c>
      <c r="L55" s="47" t="s">
        <v>52</v>
      </c>
      <c r="M55" s="47">
        <v>4</v>
      </c>
      <c r="N55" s="47" t="s">
        <v>38</v>
      </c>
      <c r="O55" s="47"/>
    </row>
    <row r="56" spans="1:15" ht="40.5" customHeight="1" x14ac:dyDescent="0.2">
      <c r="A56" s="57"/>
      <c r="B56" s="51"/>
      <c r="C56" s="51"/>
      <c r="D56" s="51"/>
      <c r="E56" s="51"/>
      <c r="F56" s="51"/>
      <c r="G56" s="51"/>
      <c r="H56" s="51"/>
      <c r="I56" s="28" t="s">
        <v>96</v>
      </c>
      <c r="J56" s="47"/>
      <c r="K56" s="47"/>
      <c r="L56" s="47"/>
      <c r="M56" s="47"/>
      <c r="N56" s="47"/>
      <c r="O56" s="47"/>
    </row>
    <row r="57" spans="1:15" ht="69" customHeight="1" x14ac:dyDescent="0.2">
      <c r="A57" s="57"/>
      <c r="B57" s="51"/>
      <c r="C57" s="51"/>
      <c r="D57" s="51"/>
      <c r="E57" s="51"/>
      <c r="F57" s="51"/>
      <c r="G57" s="51"/>
      <c r="H57" s="51"/>
      <c r="I57" s="28" t="s">
        <v>97</v>
      </c>
      <c r="J57" s="47"/>
      <c r="K57" s="47"/>
      <c r="L57" s="47"/>
      <c r="M57" s="47"/>
      <c r="N57" s="47"/>
      <c r="O57" s="47"/>
    </row>
    <row r="58" spans="1:15" ht="78.75" customHeight="1" x14ac:dyDescent="0.2">
      <c r="A58" s="57"/>
      <c r="B58" s="51"/>
      <c r="C58" s="51"/>
      <c r="D58" s="51"/>
      <c r="E58" s="51"/>
      <c r="F58" s="51"/>
      <c r="G58" s="51"/>
      <c r="H58" s="51"/>
      <c r="I58" s="28" t="s">
        <v>98</v>
      </c>
      <c r="J58" s="47"/>
      <c r="K58" s="47"/>
      <c r="L58" s="47"/>
      <c r="M58" s="47"/>
      <c r="N58" s="47"/>
      <c r="O58" s="47"/>
    </row>
    <row r="59" spans="1:15" ht="69.75" customHeight="1" x14ac:dyDescent="0.2">
      <c r="A59" s="57"/>
      <c r="B59" s="51"/>
      <c r="C59" s="51"/>
      <c r="D59" s="51"/>
      <c r="E59" s="50" t="s">
        <v>99</v>
      </c>
      <c r="F59" s="51" t="s">
        <v>330</v>
      </c>
      <c r="G59" s="51" t="s">
        <v>331</v>
      </c>
      <c r="H59" s="51" t="s">
        <v>332</v>
      </c>
      <c r="I59" s="27" t="s">
        <v>100</v>
      </c>
      <c r="J59" s="47" t="s">
        <v>36</v>
      </c>
      <c r="K59" s="47">
        <v>5</v>
      </c>
      <c r="L59" s="47" t="s">
        <v>101</v>
      </c>
      <c r="M59" s="47">
        <v>4</v>
      </c>
      <c r="N59" s="47" t="s">
        <v>38</v>
      </c>
      <c r="O59" s="47"/>
    </row>
    <row r="60" spans="1:15" ht="71.25" customHeight="1" x14ac:dyDescent="0.2">
      <c r="A60" s="57"/>
      <c r="B60" s="51"/>
      <c r="C60" s="51"/>
      <c r="D60" s="51"/>
      <c r="E60" s="51"/>
      <c r="F60" s="51"/>
      <c r="G60" s="51"/>
      <c r="H60" s="51"/>
      <c r="I60" s="28" t="s">
        <v>102</v>
      </c>
      <c r="J60" s="47"/>
      <c r="K60" s="47"/>
      <c r="L60" s="47"/>
      <c r="M60" s="47"/>
      <c r="N60" s="47"/>
      <c r="O60" s="47"/>
    </row>
    <row r="61" spans="1:15" ht="60" customHeight="1" x14ac:dyDescent="0.2">
      <c r="A61" s="57"/>
      <c r="B61" s="51"/>
      <c r="C61" s="51"/>
      <c r="D61" s="51"/>
      <c r="E61" s="51"/>
      <c r="F61" s="51"/>
      <c r="G61" s="51"/>
      <c r="H61" s="51"/>
      <c r="I61" s="28" t="s">
        <v>103</v>
      </c>
      <c r="J61" s="47"/>
      <c r="K61" s="47"/>
      <c r="L61" s="47"/>
      <c r="M61" s="47"/>
      <c r="N61" s="47"/>
      <c r="O61" s="47"/>
    </row>
    <row r="62" spans="1:15" ht="54.75" customHeight="1" x14ac:dyDescent="0.2">
      <c r="A62" s="56" t="s">
        <v>104</v>
      </c>
      <c r="B62" s="51" t="s">
        <v>333</v>
      </c>
      <c r="C62" s="51" t="s">
        <v>334</v>
      </c>
      <c r="D62" s="51" t="s">
        <v>335</v>
      </c>
      <c r="E62" s="50" t="s">
        <v>105</v>
      </c>
      <c r="F62" s="51" t="s">
        <v>336</v>
      </c>
      <c r="G62" s="51" t="s">
        <v>337</v>
      </c>
      <c r="H62" s="51" t="s">
        <v>338</v>
      </c>
      <c r="I62" s="27" t="s">
        <v>106</v>
      </c>
      <c r="J62" s="47" t="s">
        <v>36</v>
      </c>
      <c r="K62" s="47">
        <v>5</v>
      </c>
      <c r="L62" s="47" t="s">
        <v>107</v>
      </c>
      <c r="M62" s="47">
        <v>4</v>
      </c>
      <c r="N62" s="47" t="s">
        <v>38</v>
      </c>
      <c r="O62" s="47"/>
    </row>
    <row r="63" spans="1:15" ht="63" customHeight="1" x14ac:dyDescent="0.2">
      <c r="A63" s="56"/>
      <c r="B63" s="51"/>
      <c r="C63" s="51"/>
      <c r="D63" s="51"/>
      <c r="E63" s="51"/>
      <c r="F63" s="51"/>
      <c r="G63" s="51"/>
      <c r="H63" s="51"/>
      <c r="I63" s="28" t="s">
        <v>108</v>
      </c>
      <c r="J63" s="47"/>
      <c r="K63" s="47"/>
      <c r="L63" s="47"/>
      <c r="M63" s="47"/>
      <c r="N63" s="47"/>
      <c r="O63" s="47"/>
    </row>
    <row r="64" spans="1:15" ht="69" customHeight="1" x14ac:dyDescent="0.2">
      <c r="A64" s="56"/>
      <c r="B64" s="51"/>
      <c r="C64" s="51"/>
      <c r="D64" s="51"/>
      <c r="E64" s="51"/>
      <c r="F64" s="51"/>
      <c r="G64" s="51"/>
      <c r="H64" s="51"/>
      <c r="I64" s="28" t="s">
        <v>109</v>
      </c>
      <c r="J64" s="47"/>
      <c r="K64" s="47"/>
      <c r="L64" s="47"/>
      <c r="M64" s="47"/>
      <c r="N64" s="47"/>
      <c r="O64" s="47"/>
    </row>
    <row r="65" spans="1:15 16383:16384" ht="69.75" customHeight="1" x14ac:dyDescent="0.2">
      <c r="A65" s="56"/>
      <c r="B65" s="51"/>
      <c r="C65" s="51"/>
      <c r="D65" s="51"/>
      <c r="E65" s="50" t="s">
        <v>110</v>
      </c>
      <c r="F65" s="51" t="s">
        <v>336</v>
      </c>
      <c r="G65" s="51" t="s">
        <v>339</v>
      </c>
      <c r="H65" s="51" t="s">
        <v>340</v>
      </c>
      <c r="I65" s="27" t="s">
        <v>111</v>
      </c>
      <c r="J65" s="47" t="s">
        <v>48</v>
      </c>
      <c r="K65" s="47">
        <v>5</v>
      </c>
      <c r="L65" s="47" t="s">
        <v>58</v>
      </c>
      <c r="M65" s="47">
        <v>4</v>
      </c>
      <c r="N65" s="47" t="s">
        <v>38</v>
      </c>
      <c r="O65" s="47"/>
    </row>
    <row r="66" spans="1:15 16383:16384" ht="65.25" customHeight="1" x14ac:dyDescent="0.2">
      <c r="A66" s="56"/>
      <c r="B66" s="51"/>
      <c r="C66" s="51"/>
      <c r="D66" s="51"/>
      <c r="E66" s="51"/>
      <c r="F66" s="51"/>
      <c r="G66" s="51"/>
      <c r="H66" s="51"/>
      <c r="I66" s="28" t="s">
        <v>112</v>
      </c>
      <c r="J66" s="47"/>
      <c r="K66" s="47"/>
      <c r="L66" s="47"/>
      <c r="M66" s="47"/>
      <c r="N66" s="47"/>
      <c r="O66" s="47"/>
    </row>
    <row r="67" spans="1:15 16383:16384" ht="54" customHeight="1" x14ac:dyDescent="0.2">
      <c r="A67" s="56"/>
      <c r="B67" s="51"/>
      <c r="C67" s="51"/>
      <c r="D67" s="51"/>
      <c r="E67" s="51"/>
      <c r="F67" s="51"/>
      <c r="G67" s="51"/>
      <c r="H67" s="51"/>
      <c r="I67" s="28" t="s">
        <v>113</v>
      </c>
      <c r="J67" s="47"/>
      <c r="K67" s="47"/>
      <c r="L67" s="47"/>
      <c r="M67" s="47"/>
      <c r="N67" s="47"/>
      <c r="O67" s="47"/>
    </row>
    <row r="68" spans="1:15 16383:16384" ht="53.25" customHeight="1" x14ac:dyDescent="0.2">
      <c r="A68" s="55" t="s">
        <v>114</v>
      </c>
      <c r="B68" s="51" t="s">
        <v>341</v>
      </c>
      <c r="C68" s="51" t="s">
        <v>342</v>
      </c>
      <c r="D68" s="51" t="s">
        <v>343</v>
      </c>
      <c r="E68" s="50" t="s">
        <v>115</v>
      </c>
      <c r="F68" s="51" t="s">
        <v>344</v>
      </c>
      <c r="G68" s="51" t="s">
        <v>345</v>
      </c>
      <c r="H68" s="51" t="s">
        <v>346</v>
      </c>
      <c r="I68" s="27" t="s">
        <v>116</v>
      </c>
      <c r="J68" s="47" t="s">
        <v>36</v>
      </c>
      <c r="K68" s="47">
        <v>5</v>
      </c>
      <c r="L68" s="47" t="s">
        <v>34</v>
      </c>
      <c r="M68" s="47">
        <v>5</v>
      </c>
      <c r="N68" s="47" t="s">
        <v>38</v>
      </c>
      <c r="O68" s="47"/>
    </row>
    <row r="69" spans="1:15 16383:16384" ht="52.5" customHeight="1" x14ac:dyDescent="0.2">
      <c r="A69" s="55"/>
      <c r="B69" s="51"/>
      <c r="C69" s="51"/>
      <c r="D69" s="51"/>
      <c r="E69" s="50"/>
      <c r="F69" s="50"/>
      <c r="G69" s="50"/>
      <c r="H69" s="50"/>
      <c r="I69" s="27" t="s">
        <v>117</v>
      </c>
      <c r="J69" s="47"/>
      <c r="K69" s="47"/>
      <c r="L69" s="47"/>
      <c r="M69" s="47"/>
      <c r="N69" s="47"/>
      <c r="O69" s="47"/>
    </row>
    <row r="70" spans="1:15 16383:16384" ht="51.75" customHeight="1" x14ac:dyDescent="0.2">
      <c r="A70" s="55"/>
      <c r="B70" s="51"/>
      <c r="C70" s="51"/>
      <c r="D70" s="51"/>
      <c r="E70" s="50"/>
      <c r="F70" s="50"/>
      <c r="G70" s="50"/>
      <c r="H70" s="50"/>
      <c r="I70" s="27" t="s">
        <v>118</v>
      </c>
      <c r="J70" s="47"/>
      <c r="K70" s="47"/>
      <c r="L70" s="47"/>
      <c r="M70" s="47"/>
      <c r="N70" s="47"/>
      <c r="O70" s="47"/>
    </row>
    <row r="71" spans="1:15 16383:16384" ht="90" customHeight="1" x14ac:dyDescent="0.2">
      <c r="A71" s="55"/>
      <c r="B71" s="51"/>
      <c r="C71" s="51"/>
      <c r="D71" s="51"/>
      <c r="E71" s="50"/>
      <c r="F71" s="50"/>
      <c r="G71" s="50"/>
      <c r="H71" s="50"/>
      <c r="I71" s="27" t="s">
        <v>371</v>
      </c>
      <c r="J71" s="47"/>
      <c r="K71" s="47"/>
      <c r="L71" s="47"/>
      <c r="M71" s="47"/>
      <c r="N71" s="47"/>
      <c r="O71" s="47"/>
    </row>
    <row r="72" spans="1:15 16383:16384" ht="73.5" customHeight="1" x14ac:dyDescent="0.2">
      <c r="A72" s="55"/>
      <c r="B72" s="51"/>
      <c r="C72" s="51"/>
      <c r="D72" s="51"/>
      <c r="E72" s="50"/>
      <c r="F72" s="50"/>
      <c r="G72" s="50"/>
      <c r="H72" s="50"/>
      <c r="I72" s="28" t="s">
        <v>119</v>
      </c>
      <c r="J72" s="47"/>
      <c r="K72" s="47"/>
      <c r="L72" s="47"/>
      <c r="M72" s="47"/>
      <c r="N72" s="47"/>
      <c r="O72" s="47"/>
    </row>
    <row r="73" spans="1:15 16383:16384" ht="56.25" customHeight="1" x14ac:dyDescent="0.2">
      <c r="A73" s="55"/>
      <c r="B73" s="51"/>
      <c r="C73" s="51"/>
      <c r="D73" s="51"/>
      <c r="E73" s="50" t="s">
        <v>120</v>
      </c>
      <c r="F73" s="51" t="s">
        <v>347</v>
      </c>
      <c r="G73" s="51" t="s">
        <v>348</v>
      </c>
      <c r="H73" s="51" t="s">
        <v>349</v>
      </c>
      <c r="I73" s="27" t="s">
        <v>121</v>
      </c>
      <c r="J73" s="47" t="s">
        <v>36</v>
      </c>
      <c r="K73" s="47">
        <v>5</v>
      </c>
      <c r="L73" s="47" t="s">
        <v>122</v>
      </c>
      <c r="M73" s="47">
        <v>5</v>
      </c>
      <c r="N73" s="47" t="s">
        <v>38</v>
      </c>
      <c r="O73" s="47"/>
    </row>
    <row r="74" spans="1:15 16383:16384" ht="67.5" customHeight="1" x14ac:dyDescent="0.2">
      <c r="A74" s="55"/>
      <c r="B74" s="51"/>
      <c r="C74" s="51"/>
      <c r="D74" s="51"/>
      <c r="E74" s="50"/>
      <c r="F74" s="50"/>
      <c r="G74" s="50"/>
      <c r="H74" s="50"/>
      <c r="I74" s="27" t="s">
        <v>123</v>
      </c>
      <c r="J74" s="47"/>
      <c r="K74" s="47"/>
      <c r="L74" s="47"/>
      <c r="M74" s="47"/>
      <c r="N74" s="47"/>
      <c r="O74" s="47"/>
    </row>
    <row r="75" spans="1:15 16383:16384" ht="52.5" customHeight="1" x14ac:dyDescent="0.2">
      <c r="A75" s="55"/>
      <c r="B75" s="51"/>
      <c r="C75" s="51"/>
      <c r="D75" s="51"/>
      <c r="E75" s="50"/>
      <c r="F75" s="50"/>
      <c r="G75" s="50"/>
      <c r="H75" s="50"/>
      <c r="I75" s="27" t="s">
        <v>124</v>
      </c>
      <c r="J75" s="47"/>
      <c r="K75" s="47"/>
      <c r="L75" s="47"/>
      <c r="M75" s="47"/>
      <c r="N75" s="47"/>
      <c r="O75" s="47"/>
    </row>
    <row r="76" spans="1:15 16383:16384" ht="62.25" customHeight="1" x14ac:dyDescent="0.2">
      <c r="A76" s="55"/>
      <c r="B76" s="51"/>
      <c r="C76" s="51"/>
      <c r="D76" s="51"/>
      <c r="E76" s="50"/>
      <c r="F76" s="50"/>
      <c r="G76" s="50"/>
      <c r="H76" s="50"/>
      <c r="I76" s="27" t="s">
        <v>125</v>
      </c>
      <c r="J76" s="47"/>
      <c r="K76" s="47"/>
      <c r="L76" s="47"/>
      <c r="M76" s="47"/>
      <c r="N76" s="47"/>
      <c r="O76" s="47"/>
    </row>
    <row r="77" spans="1:15 16383:16384" ht="78" customHeight="1" x14ac:dyDescent="0.2">
      <c r="A77" s="55"/>
      <c r="B77" s="51"/>
      <c r="C77" s="51"/>
      <c r="D77" s="51"/>
      <c r="E77" s="50"/>
      <c r="F77" s="50"/>
      <c r="G77" s="50"/>
      <c r="H77" s="50"/>
      <c r="I77" s="28" t="s">
        <v>126</v>
      </c>
      <c r="J77" s="47"/>
      <c r="K77" s="47"/>
      <c r="L77" s="47"/>
      <c r="M77" s="47"/>
      <c r="N77" s="47"/>
      <c r="O77" s="47"/>
    </row>
    <row r="78" spans="1:15 16383:16384" s="5" customFormat="1" ht="73.5" customHeight="1" x14ac:dyDescent="0.2">
      <c r="A78" s="55"/>
      <c r="B78" s="51"/>
      <c r="C78" s="51"/>
      <c r="D78" s="51"/>
      <c r="E78" s="50" t="s">
        <v>127</v>
      </c>
      <c r="F78" s="49" t="s">
        <v>350</v>
      </c>
      <c r="G78" s="47" t="s">
        <v>128</v>
      </c>
      <c r="H78" s="47" t="s">
        <v>129</v>
      </c>
      <c r="I78" s="28" t="s">
        <v>130</v>
      </c>
      <c r="J78" s="47" t="s">
        <v>48</v>
      </c>
      <c r="K78" s="47">
        <v>5</v>
      </c>
      <c r="L78" s="47" t="s">
        <v>131</v>
      </c>
      <c r="M78" s="47">
        <v>5</v>
      </c>
      <c r="N78" s="47" t="s">
        <v>38</v>
      </c>
      <c r="O78" s="47"/>
      <c r="XFC78" s="3"/>
      <c r="XFD78" s="1"/>
    </row>
    <row r="79" spans="1:15 16383:16384" ht="69" customHeight="1" x14ac:dyDescent="0.2">
      <c r="A79" s="55"/>
      <c r="B79" s="51"/>
      <c r="C79" s="51"/>
      <c r="D79" s="51"/>
      <c r="E79" s="50"/>
      <c r="F79" s="49"/>
      <c r="G79" s="49"/>
      <c r="H79" s="49"/>
      <c r="I79" s="28" t="s">
        <v>132</v>
      </c>
      <c r="J79" s="47"/>
      <c r="K79" s="47"/>
      <c r="L79" s="47"/>
      <c r="M79" s="47"/>
      <c r="N79" s="47"/>
      <c r="O79" s="47"/>
    </row>
    <row r="80" spans="1:15 16383:16384" ht="64.5" customHeight="1" x14ac:dyDescent="0.2">
      <c r="A80" s="55"/>
      <c r="B80" s="51"/>
      <c r="C80" s="51"/>
      <c r="D80" s="51"/>
      <c r="E80" s="50"/>
      <c r="F80" s="49"/>
      <c r="G80" s="49"/>
      <c r="H80" s="49"/>
      <c r="I80" s="28" t="s">
        <v>133</v>
      </c>
      <c r="J80" s="47"/>
      <c r="K80" s="47"/>
      <c r="L80" s="47"/>
      <c r="M80" s="47"/>
      <c r="N80" s="47"/>
      <c r="O80" s="47"/>
    </row>
    <row r="81" spans="1:15" ht="62.25" customHeight="1" x14ac:dyDescent="0.2">
      <c r="A81" s="55"/>
      <c r="B81" s="51"/>
      <c r="C81" s="51"/>
      <c r="D81" s="51"/>
      <c r="E81" s="50"/>
      <c r="F81" s="49"/>
      <c r="G81" s="49"/>
      <c r="H81" s="49"/>
      <c r="I81" s="28" t="s">
        <v>134</v>
      </c>
      <c r="J81" s="47"/>
      <c r="K81" s="47"/>
      <c r="L81" s="47"/>
      <c r="M81" s="47"/>
      <c r="N81" s="47"/>
      <c r="O81" s="47"/>
    </row>
    <row r="82" spans="1:15" ht="63" customHeight="1" x14ac:dyDescent="0.2">
      <c r="A82" s="55"/>
      <c r="B82" s="51"/>
      <c r="C82" s="51"/>
      <c r="D82" s="51"/>
      <c r="E82" s="50"/>
      <c r="F82" s="49"/>
      <c r="G82" s="49"/>
      <c r="H82" s="49"/>
      <c r="I82" s="28" t="s">
        <v>135</v>
      </c>
      <c r="J82" s="47"/>
      <c r="K82" s="47"/>
      <c r="L82" s="47"/>
      <c r="M82" s="47"/>
      <c r="N82" s="47"/>
      <c r="O82" s="47"/>
    </row>
    <row r="83" spans="1:15" ht="69" customHeight="1" x14ac:dyDescent="0.2">
      <c r="A83" s="55"/>
      <c r="B83" s="51"/>
      <c r="C83" s="51"/>
      <c r="D83" s="51"/>
      <c r="E83" s="50" t="s">
        <v>136</v>
      </c>
      <c r="F83" s="49" t="s">
        <v>350</v>
      </c>
      <c r="G83" s="47" t="s">
        <v>137</v>
      </c>
      <c r="H83" s="47" t="s">
        <v>138</v>
      </c>
      <c r="I83" s="28" t="s">
        <v>139</v>
      </c>
      <c r="J83" s="47" t="s">
        <v>48</v>
      </c>
      <c r="K83" s="47">
        <v>5</v>
      </c>
      <c r="L83" s="47" t="s">
        <v>131</v>
      </c>
      <c r="M83" s="47">
        <v>5</v>
      </c>
      <c r="N83" s="47" t="s">
        <v>38</v>
      </c>
      <c r="O83" s="47"/>
    </row>
    <row r="84" spans="1:15" ht="57.75" customHeight="1" x14ac:dyDescent="0.2">
      <c r="A84" s="55"/>
      <c r="B84" s="51"/>
      <c r="C84" s="51"/>
      <c r="D84" s="51"/>
      <c r="E84" s="50"/>
      <c r="F84" s="49"/>
      <c r="G84" s="49"/>
      <c r="H84" s="49"/>
      <c r="I84" s="28" t="s">
        <v>140</v>
      </c>
      <c r="J84" s="47"/>
      <c r="K84" s="47"/>
      <c r="L84" s="47"/>
      <c r="M84" s="47"/>
      <c r="N84" s="47"/>
      <c r="O84" s="47"/>
    </row>
    <row r="85" spans="1:15" ht="60.75" customHeight="1" x14ac:dyDescent="0.2">
      <c r="A85" s="55"/>
      <c r="B85" s="51"/>
      <c r="C85" s="51"/>
      <c r="D85" s="51"/>
      <c r="E85" s="50"/>
      <c r="F85" s="49"/>
      <c r="G85" s="49"/>
      <c r="H85" s="49"/>
      <c r="I85" s="28" t="s">
        <v>141</v>
      </c>
      <c r="J85" s="47"/>
      <c r="K85" s="47"/>
      <c r="L85" s="47"/>
      <c r="M85" s="47"/>
      <c r="N85" s="47"/>
      <c r="O85" s="47"/>
    </row>
    <row r="86" spans="1:15" ht="54" customHeight="1" x14ac:dyDescent="0.2">
      <c r="A86" s="55"/>
      <c r="B86" s="51"/>
      <c r="C86" s="51"/>
      <c r="D86" s="51"/>
      <c r="E86" s="50"/>
      <c r="F86" s="49"/>
      <c r="G86" s="49"/>
      <c r="H86" s="49"/>
      <c r="I86" s="28" t="s">
        <v>142</v>
      </c>
      <c r="J86" s="47"/>
      <c r="K86" s="47"/>
      <c r="L86" s="47"/>
      <c r="M86" s="47"/>
      <c r="N86" s="47"/>
      <c r="O86" s="47"/>
    </row>
    <row r="87" spans="1:15" ht="60" customHeight="1" x14ac:dyDescent="0.2">
      <c r="A87" s="55"/>
      <c r="B87" s="51"/>
      <c r="C87" s="51"/>
      <c r="D87" s="51"/>
      <c r="E87" s="50"/>
      <c r="F87" s="49"/>
      <c r="G87" s="49"/>
      <c r="H87" s="49"/>
      <c r="I87" s="28" t="s">
        <v>134</v>
      </c>
      <c r="J87" s="47"/>
      <c r="K87" s="47"/>
      <c r="L87" s="47"/>
      <c r="M87" s="47"/>
      <c r="N87" s="47"/>
      <c r="O87" s="47"/>
    </row>
    <row r="88" spans="1:15" ht="95.25" customHeight="1" x14ac:dyDescent="0.2">
      <c r="A88" s="55"/>
      <c r="B88" s="51"/>
      <c r="C88" s="51"/>
      <c r="D88" s="51"/>
      <c r="E88" s="50" t="s">
        <v>131</v>
      </c>
      <c r="F88" s="47" t="s">
        <v>386</v>
      </c>
      <c r="G88" s="47" t="s">
        <v>387</v>
      </c>
      <c r="H88" s="47" t="s">
        <v>375</v>
      </c>
      <c r="I88" s="28" t="s">
        <v>376</v>
      </c>
      <c r="J88" s="47" t="s">
        <v>36</v>
      </c>
      <c r="K88" s="47">
        <v>5</v>
      </c>
      <c r="L88" s="47" t="s">
        <v>143</v>
      </c>
      <c r="M88" s="47">
        <v>1</v>
      </c>
      <c r="N88" s="47" t="s">
        <v>38</v>
      </c>
      <c r="O88" s="47"/>
    </row>
    <row r="89" spans="1:15" ht="76.5" customHeight="1" x14ac:dyDescent="0.2">
      <c r="A89" s="55"/>
      <c r="B89" s="51"/>
      <c r="C89" s="51"/>
      <c r="D89" s="51"/>
      <c r="E89" s="50"/>
      <c r="F89" s="47"/>
      <c r="G89" s="47"/>
      <c r="H89" s="47"/>
      <c r="I89" s="28" t="s">
        <v>377</v>
      </c>
      <c r="J89" s="47"/>
      <c r="K89" s="47"/>
      <c r="L89" s="47"/>
      <c r="M89" s="47"/>
      <c r="N89" s="47"/>
      <c r="O89" s="47"/>
    </row>
    <row r="90" spans="1:15" ht="60.75" customHeight="1" x14ac:dyDescent="0.2">
      <c r="A90" s="55"/>
      <c r="B90" s="51"/>
      <c r="C90" s="51"/>
      <c r="D90" s="51"/>
      <c r="E90" s="50"/>
      <c r="F90" s="47"/>
      <c r="G90" s="47"/>
      <c r="H90" s="47"/>
      <c r="I90" s="28" t="s">
        <v>380</v>
      </c>
      <c r="J90" s="47"/>
      <c r="K90" s="47"/>
      <c r="L90" s="47"/>
      <c r="M90" s="47"/>
      <c r="N90" s="47"/>
      <c r="O90" s="47"/>
    </row>
    <row r="91" spans="1:15" ht="60.75" customHeight="1" x14ac:dyDescent="0.2">
      <c r="A91" s="55"/>
      <c r="B91" s="51"/>
      <c r="C91" s="51"/>
      <c r="D91" s="51"/>
      <c r="E91" s="50"/>
      <c r="F91" s="47"/>
      <c r="G91" s="47"/>
      <c r="H91" s="47"/>
      <c r="I91" s="28" t="s">
        <v>378</v>
      </c>
      <c r="J91" s="47"/>
      <c r="K91" s="47"/>
      <c r="L91" s="47"/>
      <c r="M91" s="47"/>
      <c r="N91" s="47"/>
      <c r="O91" s="47"/>
    </row>
    <row r="92" spans="1:15" ht="60.75" customHeight="1" x14ac:dyDescent="0.2">
      <c r="A92" s="55"/>
      <c r="B92" s="51"/>
      <c r="C92" s="51"/>
      <c r="D92" s="51"/>
      <c r="E92" s="50"/>
      <c r="F92" s="47"/>
      <c r="G92" s="47"/>
      <c r="H92" s="47"/>
      <c r="I92" s="28" t="s">
        <v>381</v>
      </c>
      <c r="J92" s="47"/>
      <c r="K92" s="47"/>
      <c r="L92" s="47"/>
      <c r="M92" s="47"/>
      <c r="N92" s="47"/>
      <c r="O92" s="47"/>
    </row>
    <row r="93" spans="1:15" ht="93.75" customHeight="1" x14ac:dyDescent="0.2">
      <c r="A93" s="55"/>
      <c r="B93" s="51"/>
      <c r="C93" s="51"/>
      <c r="D93" s="51"/>
      <c r="E93" s="50"/>
      <c r="F93" s="47"/>
      <c r="G93" s="47"/>
      <c r="H93" s="47"/>
      <c r="I93" s="28" t="s">
        <v>379</v>
      </c>
      <c r="J93" s="47"/>
      <c r="K93" s="47"/>
      <c r="L93" s="47"/>
      <c r="M93" s="47"/>
      <c r="N93" s="47"/>
      <c r="O93" s="47"/>
    </row>
    <row r="94" spans="1:15" ht="76.5" customHeight="1" x14ac:dyDescent="0.2">
      <c r="A94" s="55"/>
      <c r="B94" s="51"/>
      <c r="C94" s="51"/>
      <c r="D94" s="51"/>
      <c r="E94" s="50" t="s">
        <v>144</v>
      </c>
      <c r="F94" s="47" t="s">
        <v>373</v>
      </c>
      <c r="G94" s="47" t="s">
        <v>374</v>
      </c>
      <c r="H94" s="47" t="s">
        <v>146</v>
      </c>
      <c r="I94" s="28" t="s">
        <v>382</v>
      </c>
      <c r="J94" s="47" t="s">
        <v>36</v>
      </c>
      <c r="K94" s="47">
        <v>5</v>
      </c>
      <c r="L94" s="47" t="s">
        <v>131</v>
      </c>
      <c r="M94" s="47">
        <v>1</v>
      </c>
      <c r="N94" s="47" t="s">
        <v>38</v>
      </c>
      <c r="O94" s="54"/>
    </row>
    <row r="95" spans="1:15" ht="60" customHeight="1" x14ac:dyDescent="0.2">
      <c r="A95" s="55"/>
      <c r="B95" s="51"/>
      <c r="C95" s="51"/>
      <c r="D95" s="51"/>
      <c r="E95" s="50"/>
      <c r="F95" s="47"/>
      <c r="G95" s="47"/>
      <c r="H95" s="47"/>
      <c r="I95" s="28" t="s">
        <v>383</v>
      </c>
      <c r="J95" s="47"/>
      <c r="K95" s="47"/>
      <c r="L95" s="47"/>
      <c r="M95" s="47"/>
      <c r="N95" s="47"/>
      <c r="O95" s="47"/>
    </row>
    <row r="96" spans="1:15" ht="56.25" customHeight="1" x14ac:dyDescent="0.2">
      <c r="A96" s="55"/>
      <c r="B96" s="51"/>
      <c r="C96" s="51"/>
      <c r="D96" s="51"/>
      <c r="E96" s="50"/>
      <c r="F96" s="47"/>
      <c r="G96" s="47"/>
      <c r="H96" s="47"/>
      <c r="I96" s="28" t="s">
        <v>384</v>
      </c>
      <c r="J96" s="47"/>
      <c r="K96" s="47"/>
      <c r="L96" s="47"/>
      <c r="M96" s="47"/>
      <c r="N96" s="47"/>
      <c r="O96" s="47"/>
    </row>
    <row r="97" spans="1:15" ht="72" customHeight="1" x14ac:dyDescent="0.2">
      <c r="A97" s="55"/>
      <c r="B97" s="51"/>
      <c r="C97" s="51"/>
      <c r="D97" s="51"/>
      <c r="E97" s="50"/>
      <c r="F97" s="47"/>
      <c r="G97" s="47"/>
      <c r="H97" s="47"/>
      <c r="I97" s="28" t="s">
        <v>385</v>
      </c>
      <c r="J97" s="47"/>
      <c r="K97" s="47"/>
      <c r="L97" s="47"/>
      <c r="M97" s="47"/>
      <c r="N97" s="47"/>
      <c r="O97" s="47"/>
    </row>
    <row r="98" spans="1:15" ht="69" customHeight="1" x14ac:dyDescent="0.2">
      <c r="A98" s="55"/>
      <c r="B98" s="51"/>
      <c r="C98" s="51"/>
      <c r="D98" s="51"/>
      <c r="E98" s="50"/>
      <c r="F98" s="47"/>
      <c r="G98" s="47"/>
      <c r="H98" s="47"/>
      <c r="I98" s="28" t="s">
        <v>147</v>
      </c>
      <c r="J98" s="47"/>
      <c r="K98" s="47"/>
      <c r="L98" s="47"/>
      <c r="M98" s="47"/>
      <c r="N98" s="47"/>
      <c r="O98" s="47"/>
    </row>
    <row r="99" spans="1:15" ht="106.5" customHeight="1" x14ac:dyDescent="0.2">
      <c r="A99" s="55"/>
      <c r="B99" s="51"/>
      <c r="C99" s="51"/>
      <c r="D99" s="51"/>
      <c r="E99" s="50" t="s">
        <v>148</v>
      </c>
      <c r="F99" s="47" t="s">
        <v>145</v>
      </c>
      <c r="G99" s="47" t="s">
        <v>149</v>
      </c>
      <c r="H99" s="47" t="s">
        <v>150</v>
      </c>
      <c r="I99" s="29" t="s">
        <v>151</v>
      </c>
      <c r="J99" s="47" t="s">
        <v>36</v>
      </c>
      <c r="K99" s="47">
        <v>5</v>
      </c>
      <c r="L99" s="47" t="s">
        <v>144</v>
      </c>
      <c r="M99" s="47">
        <v>2</v>
      </c>
      <c r="N99" s="47" t="s">
        <v>38</v>
      </c>
      <c r="O99" s="47"/>
    </row>
    <row r="100" spans="1:15" ht="109.5" customHeight="1" x14ac:dyDescent="0.2">
      <c r="A100" s="55"/>
      <c r="B100" s="51"/>
      <c r="C100" s="51"/>
      <c r="D100" s="51"/>
      <c r="E100" s="51"/>
      <c r="F100" s="47"/>
      <c r="G100" s="47"/>
      <c r="H100" s="47"/>
      <c r="I100" s="29" t="s">
        <v>152</v>
      </c>
      <c r="J100" s="47"/>
      <c r="K100" s="47"/>
      <c r="L100" s="47"/>
      <c r="M100" s="47"/>
      <c r="N100" s="47"/>
      <c r="O100" s="47"/>
    </row>
    <row r="101" spans="1:15" ht="99" customHeight="1" x14ac:dyDescent="0.2">
      <c r="A101" s="55"/>
      <c r="B101" s="51"/>
      <c r="C101" s="51"/>
      <c r="D101" s="51"/>
      <c r="E101" s="51"/>
      <c r="F101" s="47"/>
      <c r="G101" s="47"/>
      <c r="H101" s="47"/>
      <c r="I101" s="30" t="s">
        <v>153</v>
      </c>
      <c r="J101" s="47"/>
      <c r="K101" s="47"/>
      <c r="L101" s="47"/>
      <c r="M101" s="47"/>
      <c r="N101" s="47"/>
      <c r="O101" s="47"/>
    </row>
    <row r="102" spans="1:15" ht="73.5" customHeight="1" x14ac:dyDescent="0.2">
      <c r="A102" s="55"/>
      <c r="B102" s="51"/>
      <c r="C102" s="51"/>
      <c r="D102" s="51"/>
      <c r="E102" s="51"/>
      <c r="F102" s="47"/>
      <c r="G102" s="47"/>
      <c r="H102" s="47"/>
      <c r="I102" s="29" t="s">
        <v>154</v>
      </c>
      <c r="J102" s="47"/>
      <c r="K102" s="47"/>
      <c r="L102" s="47"/>
      <c r="M102" s="47"/>
      <c r="N102" s="47"/>
      <c r="O102" s="47"/>
    </row>
    <row r="103" spans="1:15" ht="128.25" customHeight="1" x14ac:dyDescent="0.2">
      <c r="A103" s="55"/>
      <c r="B103" s="51"/>
      <c r="C103" s="51"/>
      <c r="D103" s="51"/>
      <c r="E103" s="51"/>
      <c r="F103" s="47"/>
      <c r="G103" s="47"/>
      <c r="H103" s="47"/>
      <c r="I103" s="30" t="s">
        <v>155</v>
      </c>
      <c r="J103" s="47"/>
      <c r="K103" s="47"/>
      <c r="L103" s="47"/>
      <c r="M103" s="47"/>
      <c r="N103" s="47"/>
      <c r="O103" s="47"/>
    </row>
    <row r="104" spans="1:15" ht="62.25" customHeight="1" x14ac:dyDescent="0.2">
      <c r="A104" s="53" t="s">
        <v>156</v>
      </c>
      <c r="B104" s="49" t="s">
        <v>351</v>
      </c>
      <c r="C104" s="49" t="s">
        <v>352</v>
      </c>
      <c r="D104" s="49" t="s">
        <v>353</v>
      </c>
      <c r="E104" s="50" t="s">
        <v>157</v>
      </c>
      <c r="F104" s="51" t="s">
        <v>354</v>
      </c>
      <c r="G104" s="51" t="s">
        <v>355</v>
      </c>
      <c r="H104" s="52" t="s">
        <v>356</v>
      </c>
      <c r="I104" s="27" t="s">
        <v>158</v>
      </c>
      <c r="J104" s="47" t="s">
        <v>36</v>
      </c>
      <c r="K104" s="47">
        <v>5</v>
      </c>
      <c r="L104" s="47" t="s">
        <v>115</v>
      </c>
      <c r="M104" s="47">
        <v>6</v>
      </c>
      <c r="N104" s="47" t="s">
        <v>38</v>
      </c>
      <c r="O104" s="47"/>
    </row>
    <row r="105" spans="1:15" ht="57.75" customHeight="1" x14ac:dyDescent="0.2">
      <c r="A105" s="53"/>
      <c r="B105" s="49"/>
      <c r="C105" s="49"/>
      <c r="D105" s="49"/>
      <c r="E105" s="49"/>
      <c r="F105" s="51"/>
      <c r="G105" s="51"/>
      <c r="H105" s="52"/>
      <c r="I105" s="27" t="s">
        <v>159</v>
      </c>
      <c r="J105" s="47"/>
      <c r="K105" s="47"/>
      <c r="L105" s="47"/>
      <c r="M105" s="47"/>
      <c r="N105" s="47"/>
      <c r="O105" s="47"/>
    </row>
    <row r="106" spans="1:15" ht="63.75" customHeight="1" x14ac:dyDescent="0.2">
      <c r="A106" s="53"/>
      <c r="B106" s="49"/>
      <c r="C106" s="49"/>
      <c r="D106" s="49"/>
      <c r="E106" s="49"/>
      <c r="F106" s="51"/>
      <c r="G106" s="51"/>
      <c r="H106" s="52"/>
      <c r="I106" s="27" t="s">
        <v>160</v>
      </c>
      <c r="J106" s="47"/>
      <c r="K106" s="47"/>
      <c r="L106" s="47"/>
      <c r="M106" s="47"/>
      <c r="N106" s="47"/>
      <c r="O106" s="47"/>
    </row>
    <row r="107" spans="1:15" ht="78" customHeight="1" x14ac:dyDescent="0.2">
      <c r="A107" s="53"/>
      <c r="B107" s="49"/>
      <c r="C107" s="49"/>
      <c r="D107" s="49"/>
      <c r="E107" s="49"/>
      <c r="F107" s="51"/>
      <c r="G107" s="51"/>
      <c r="H107" s="52"/>
      <c r="I107" s="27" t="s">
        <v>161</v>
      </c>
      <c r="J107" s="47"/>
      <c r="K107" s="47"/>
      <c r="L107" s="47"/>
      <c r="M107" s="47"/>
      <c r="N107" s="47"/>
      <c r="O107" s="47"/>
    </row>
    <row r="108" spans="1:15" ht="52.5" customHeight="1" x14ac:dyDescent="0.2">
      <c r="A108" s="53"/>
      <c r="B108" s="49"/>
      <c r="C108" s="49"/>
      <c r="D108" s="49"/>
      <c r="E108" s="49"/>
      <c r="F108" s="51"/>
      <c r="G108" s="51"/>
      <c r="H108" s="52"/>
      <c r="I108" s="27" t="s">
        <v>162</v>
      </c>
      <c r="J108" s="47"/>
      <c r="K108" s="47"/>
      <c r="L108" s="47"/>
      <c r="M108" s="47"/>
      <c r="N108" s="47"/>
      <c r="O108" s="47"/>
    </row>
    <row r="109" spans="1:15" ht="62.25" customHeight="1" x14ac:dyDescent="0.2">
      <c r="A109" s="53"/>
      <c r="B109" s="49"/>
      <c r="C109" s="49"/>
      <c r="D109" s="49"/>
      <c r="E109" s="49"/>
      <c r="F109" s="51"/>
      <c r="G109" s="51"/>
      <c r="H109" s="52"/>
      <c r="I109" s="28" t="s">
        <v>163</v>
      </c>
      <c r="J109" s="47"/>
      <c r="K109" s="47"/>
      <c r="L109" s="47"/>
      <c r="M109" s="47"/>
      <c r="N109" s="47"/>
      <c r="O109" s="47"/>
    </row>
    <row r="110" spans="1:15" ht="62.25" customHeight="1" x14ac:dyDescent="0.2">
      <c r="A110" s="53"/>
      <c r="B110" s="49"/>
      <c r="C110" s="49"/>
      <c r="D110" s="49"/>
      <c r="E110" s="49"/>
      <c r="F110" s="51"/>
      <c r="G110" s="51"/>
      <c r="H110" s="52"/>
      <c r="I110" s="27" t="s">
        <v>164</v>
      </c>
      <c r="J110" s="47"/>
      <c r="K110" s="47"/>
      <c r="L110" s="47"/>
      <c r="M110" s="47"/>
      <c r="N110" s="47"/>
      <c r="O110" s="47"/>
    </row>
    <row r="111" spans="1:15" ht="81" customHeight="1" x14ac:dyDescent="0.2">
      <c r="A111" s="53"/>
      <c r="B111" s="49"/>
      <c r="C111" s="49"/>
      <c r="D111" s="49"/>
      <c r="E111" s="50" t="s">
        <v>165</v>
      </c>
      <c r="F111" s="49" t="s">
        <v>357</v>
      </c>
      <c r="G111" s="47" t="s">
        <v>166</v>
      </c>
      <c r="H111" s="47" t="s">
        <v>167</v>
      </c>
      <c r="I111" s="27" t="s">
        <v>168</v>
      </c>
      <c r="J111" s="47" t="s">
        <v>36</v>
      </c>
      <c r="K111" s="47">
        <v>5</v>
      </c>
      <c r="L111" s="47" t="s">
        <v>157</v>
      </c>
      <c r="M111" s="47">
        <v>6</v>
      </c>
      <c r="N111" s="47" t="s">
        <v>38</v>
      </c>
      <c r="O111" s="47"/>
    </row>
    <row r="112" spans="1:15" ht="69.75" customHeight="1" x14ac:dyDescent="0.2">
      <c r="A112" s="53"/>
      <c r="B112" s="49"/>
      <c r="C112" s="49"/>
      <c r="D112" s="49"/>
      <c r="E112" s="49"/>
      <c r="F112" s="49"/>
      <c r="G112" s="49"/>
      <c r="H112" s="49"/>
      <c r="I112" s="27" t="s">
        <v>169</v>
      </c>
      <c r="J112" s="47"/>
      <c r="K112" s="47"/>
      <c r="L112" s="47"/>
      <c r="M112" s="47"/>
      <c r="N112" s="47"/>
      <c r="O112" s="47"/>
    </row>
    <row r="113" spans="1:15 16383:16384" ht="111" customHeight="1" x14ac:dyDescent="0.2">
      <c r="A113" s="53"/>
      <c r="B113" s="49"/>
      <c r="C113" s="49"/>
      <c r="D113" s="49"/>
      <c r="E113" s="49"/>
      <c r="F113" s="49"/>
      <c r="G113" s="49"/>
      <c r="H113" s="49"/>
      <c r="I113" s="27" t="s">
        <v>170</v>
      </c>
      <c r="J113" s="47"/>
      <c r="K113" s="47"/>
      <c r="L113" s="47"/>
      <c r="M113" s="47"/>
      <c r="N113" s="47"/>
      <c r="O113" s="47"/>
    </row>
    <row r="114" spans="1:15 16383:16384" ht="75.75" customHeight="1" x14ac:dyDescent="0.2">
      <c r="A114" s="53"/>
      <c r="B114" s="49"/>
      <c r="C114" s="49"/>
      <c r="D114" s="49"/>
      <c r="E114" s="49"/>
      <c r="F114" s="49"/>
      <c r="G114" s="49"/>
      <c r="H114" s="49"/>
      <c r="I114" s="27" t="s">
        <v>171</v>
      </c>
      <c r="J114" s="47"/>
      <c r="K114" s="47"/>
      <c r="L114" s="47"/>
      <c r="M114" s="47"/>
      <c r="N114" s="47"/>
      <c r="O114" s="47"/>
    </row>
    <row r="115" spans="1:15 16383:16384" ht="66.75" customHeight="1" x14ac:dyDescent="0.2">
      <c r="A115" s="53"/>
      <c r="B115" s="49"/>
      <c r="C115" s="49"/>
      <c r="D115" s="49"/>
      <c r="E115" s="49"/>
      <c r="F115" s="49"/>
      <c r="G115" s="49"/>
      <c r="H115" s="49"/>
      <c r="I115" s="27" t="s">
        <v>172</v>
      </c>
      <c r="J115" s="47"/>
      <c r="K115" s="47"/>
      <c r="L115" s="47"/>
      <c r="M115" s="47"/>
      <c r="N115" s="47"/>
      <c r="O115" s="47"/>
    </row>
    <row r="116" spans="1:15 16383:16384" ht="60.75" customHeight="1" x14ac:dyDescent="0.2">
      <c r="A116" s="53"/>
      <c r="B116" s="49"/>
      <c r="C116" s="49"/>
      <c r="D116" s="49"/>
      <c r="E116" s="49"/>
      <c r="F116" s="49"/>
      <c r="G116" s="49"/>
      <c r="H116" s="49"/>
      <c r="I116" s="28" t="s">
        <v>173</v>
      </c>
      <c r="J116" s="47"/>
      <c r="K116" s="47"/>
      <c r="L116" s="47"/>
      <c r="M116" s="47"/>
      <c r="N116" s="47"/>
      <c r="O116" s="47"/>
    </row>
    <row r="117" spans="1:15 16383:16384" ht="66.75" customHeight="1" x14ac:dyDescent="0.2">
      <c r="A117" s="53"/>
      <c r="B117" s="49"/>
      <c r="C117" s="49"/>
      <c r="D117" s="49"/>
      <c r="E117" s="49"/>
      <c r="F117" s="49"/>
      <c r="G117" s="49"/>
      <c r="H117" s="49"/>
      <c r="I117" s="27" t="s">
        <v>164</v>
      </c>
      <c r="J117" s="47"/>
      <c r="K117" s="47"/>
      <c r="L117" s="47"/>
      <c r="M117" s="47"/>
      <c r="N117" s="47"/>
      <c r="O117" s="47"/>
    </row>
    <row r="118" spans="1:15 16383:16384" ht="65.25" customHeight="1" x14ac:dyDescent="0.2">
      <c r="A118" s="53"/>
      <c r="B118" s="49"/>
      <c r="C118" s="49"/>
      <c r="D118" s="49"/>
      <c r="E118" s="50" t="s">
        <v>174</v>
      </c>
      <c r="F118" s="51" t="s">
        <v>354</v>
      </c>
      <c r="G118" s="51" t="s">
        <v>358</v>
      </c>
      <c r="H118" s="51" t="s">
        <v>359</v>
      </c>
      <c r="I118" s="27" t="s">
        <v>175</v>
      </c>
      <c r="J118" s="47" t="s">
        <v>48</v>
      </c>
      <c r="K118" s="47">
        <v>5</v>
      </c>
      <c r="L118" s="47" t="s">
        <v>157</v>
      </c>
      <c r="M118" s="47">
        <v>6</v>
      </c>
      <c r="N118" s="47" t="s">
        <v>38</v>
      </c>
      <c r="O118" s="47"/>
    </row>
    <row r="119" spans="1:15 16383:16384" ht="58.5" customHeight="1" x14ac:dyDescent="0.2">
      <c r="A119" s="53"/>
      <c r="B119" s="49"/>
      <c r="C119" s="49"/>
      <c r="D119" s="49"/>
      <c r="E119" s="49"/>
      <c r="F119" s="51"/>
      <c r="G119" s="51"/>
      <c r="H119" s="51"/>
      <c r="I119" s="27" t="s">
        <v>176</v>
      </c>
      <c r="J119" s="47"/>
      <c r="K119" s="47"/>
      <c r="L119" s="47"/>
      <c r="M119" s="47"/>
      <c r="N119" s="47"/>
      <c r="O119" s="47"/>
    </row>
    <row r="120" spans="1:15 16383:16384" ht="55.5" customHeight="1" x14ac:dyDescent="0.2">
      <c r="A120" s="53"/>
      <c r="B120" s="49"/>
      <c r="C120" s="49"/>
      <c r="D120" s="49"/>
      <c r="E120" s="49"/>
      <c r="F120" s="51"/>
      <c r="G120" s="51"/>
      <c r="H120" s="51"/>
      <c r="I120" s="27" t="s">
        <v>177</v>
      </c>
      <c r="J120" s="47"/>
      <c r="K120" s="47"/>
      <c r="L120" s="47"/>
      <c r="M120" s="47"/>
      <c r="N120" s="47"/>
      <c r="O120" s="47"/>
    </row>
    <row r="121" spans="1:15 16383:16384" ht="58.5" customHeight="1" x14ac:dyDescent="0.2">
      <c r="A121" s="53"/>
      <c r="B121" s="49"/>
      <c r="C121" s="49"/>
      <c r="D121" s="49"/>
      <c r="E121" s="49"/>
      <c r="F121" s="51"/>
      <c r="G121" s="51"/>
      <c r="H121" s="51"/>
      <c r="I121" s="27" t="s">
        <v>178</v>
      </c>
      <c r="J121" s="47"/>
      <c r="K121" s="47"/>
      <c r="L121" s="47"/>
      <c r="M121" s="47"/>
      <c r="N121" s="47"/>
      <c r="O121" s="47"/>
    </row>
    <row r="122" spans="1:15 16383:16384" ht="57" customHeight="1" x14ac:dyDescent="0.2">
      <c r="A122" s="53"/>
      <c r="B122" s="49"/>
      <c r="C122" s="49"/>
      <c r="D122" s="49"/>
      <c r="E122" s="49"/>
      <c r="F122" s="51"/>
      <c r="G122" s="51"/>
      <c r="H122" s="51"/>
      <c r="I122" s="27" t="s">
        <v>179</v>
      </c>
      <c r="J122" s="47"/>
      <c r="K122" s="47"/>
      <c r="L122" s="47"/>
      <c r="M122" s="47"/>
      <c r="N122" s="47"/>
      <c r="O122" s="47"/>
    </row>
    <row r="123" spans="1:15 16383:16384" ht="60" customHeight="1" x14ac:dyDescent="0.2">
      <c r="A123" s="53"/>
      <c r="B123" s="49"/>
      <c r="C123" s="49"/>
      <c r="D123" s="49"/>
      <c r="E123" s="49"/>
      <c r="F123" s="51"/>
      <c r="G123" s="51"/>
      <c r="H123" s="51"/>
      <c r="I123" s="27" t="s">
        <v>180</v>
      </c>
      <c r="J123" s="47"/>
      <c r="K123" s="47"/>
      <c r="L123" s="47"/>
      <c r="M123" s="47"/>
      <c r="N123" s="47"/>
      <c r="O123" s="47"/>
    </row>
    <row r="124" spans="1:15 16383:16384" ht="68.25" customHeight="1" x14ac:dyDescent="0.2">
      <c r="A124" s="53"/>
      <c r="B124" s="49"/>
      <c r="C124" s="49"/>
      <c r="D124" s="49"/>
      <c r="E124" s="50" t="s">
        <v>181</v>
      </c>
      <c r="F124" s="51" t="s">
        <v>347</v>
      </c>
      <c r="G124" s="51" t="s">
        <v>360</v>
      </c>
      <c r="H124" s="51" t="s">
        <v>361</v>
      </c>
      <c r="I124" s="27" t="s">
        <v>182</v>
      </c>
      <c r="J124" s="47" t="s">
        <v>48</v>
      </c>
      <c r="K124" s="47">
        <v>3</v>
      </c>
      <c r="L124" s="47" t="s">
        <v>157</v>
      </c>
      <c r="M124" s="47">
        <v>6</v>
      </c>
      <c r="N124" s="47" t="s">
        <v>38</v>
      </c>
      <c r="O124" s="47"/>
    </row>
    <row r="125" spans="1:15 16383:16384" ht="65.25" customHeight="1" x14ac:dyDescent="0.2">
      <c r="A125" s="53"/>
      <c r="B125" s="49"/>
      <c r="C125" s="49"/>
      <c r="D125" s="49"/>
      <c r="E125" s="49"/>
      <c r="F125" s="51"/>
      <c r="G125" s="51"/>
      <c r="H125" s="51"/>
      <c r="I125" s="27" t="s">
        <v>183</v>
      </c>
      <c r="J125" s="47"/>
      <c r="K125" s="47"/>
      <c r="L125" s="47"/>
      <c r="M125" s="47"/>
      <c r="N125" s="47"/>
      <c r="O125" s="47"/>
    </row>
    <row r="126" spans="1:15 16383:16384" ht="66" customHeight="1" x14ac:dyDescent="0.2">
      <c r="A126" s="53"/>
      <c r="B126" s="49"/>
      <c r="C126" s="49"/>
      <c r="D126" s="49"/>
      <c r="E126" s="49"/>
      <c r="F126" s="51"/>
      <c r="G126" s="51"/>
      <c r="H126" s="51"/>
      <c r="I126" s="28" t="s">
        <v>184</v>
      </c>
      <c r="J126" s="47"/>
      <c r="K126" s="47"/>
      <c r="L126" s="47"/>
      <c r="M126" s="47"/>
      <c r="N126" s="47"/>
      <c r="O126" s="47"/>
    </row>
    <row r="127" spans="1:15 16383:16384" ht="65.25" customHeight="1" x14ac:dyDescent="0.2">
      <c r="A127" s="53"/>
      <c r="B127" s="49"/>
      <c r="C127" s="49"/>
      <c r="D127" s="49"/>
      <c r="E127" s="49"/>
      <c r="F127" s="51"/>
      <c r="G127" s="51"/>
      <c r="H127" s="51"/>
      <c r="I127" s="27" t="s">
        <v>185</v>
      </c>
      <c r="J127" s="47"/>
      <c r="K127" s="47"/>
      <c r="L127" s="47"/>
      <c r="M127" s="47"/>
      <c r="N127" s="47"/>
      <c r="O127" s="47"/>
    </row>
    <row r="128" spans="1:15 16383:16384" s="6" customFormat="1" ht="58.5" customHeight="1" x14ac:dyDescent="0.2">
      <c r="A128" s="48" t="s">
        <v>186</v>
      </c>
      <c r="B128" s="49" t="s">
        <v>362</v>
      </c>
      <c r="C128" s="49" t="s">
        <v>363</v>
      </c>
      <c r="D128" s="49" t="s">
        <v>364</v>
      </c>
      <c r="E128" s="50" t="s">
        <v>187</v>
      </c>
      <c r="F128" s="51" t="s">
        <v>302</v>
      </c>
      <c r="G128" s="51" t="s">
        <v>365</v>
      </c>
      <c r="H128" s="52" t="s">
        <v>366</v>
      </c>
      <c r="I128" s="27" t="s">
        <v>188</v>
      </c>
      <c r="J128" s="47" t="s">
        <v>36</v>
      </c>
      <c r="K128" s="47">
        <v>5</v>
      </c>
      <c r="L128" s="47" t="s">
        <v>52</v>
      </c>
      <c r="M128" s="47">
        <v>3</v>
      </c>
      <c r="N128" s="47" t="s">
        <v>38</v>
      </c>
      <c r="O128" s="47"/>
      <c r="XFC128" s="3"/>
      <c r="XFD128" s="1"/>
    </row>
    <row r="129" spans="1:15 16383:16384" s="7" customFormat="1" ht="48.75" customHeight="1" x14ac:dyDescent="0.2">
      <c r="A129" s="48"/>
      <c r="B129" s="49"/>
      <c r="C129" s="49"/>
      <c r="D129" s="49"/>
      <c r="E129" s="50"/>
      <c r="F129" s="51"/>
      <c r="G129" s="51"/>
      <c r="H129" s="52"/>
      <c r="I129" s="27" t="s">
        <v>189</v>
      </c>
      <c r="J129" s="47"/>
      <c r="K129" s="47"/>
      <c r="L129" s="47"/>
      <c r="M129" s="47"/>
      <c r="N129" s="47"/>
      <c r="O129" s="47"/>
      <c r="XFC129" s="3"/>
      <c r="XFD129" s="1"/>
    </row>
    <row r="130" spans="1:15 16383:16384" s="7" customFormat="1" ht="64.5" customHeight="1" x14ac:dyDescent="0.2">
      <c r="A130" s="48"/>
      <c r="B130" s="49"/>
      <c r="C130" s="49"/>
      <c r="D130" s="49"/>
      <c r="E130" s="50"/>
      <c r="F130" s="51"/>
      <c r="G130" s="51"/>
      <c r="H130" s="52"/>
      <c r="I130" s="27" t="s">
        <v>190</v>
      </c>
      <c r="J130" s="47"/>
      <c r="K130" s="47"/>
      <c r="L130" s="47"/>
      <c r="M130" s="47"/>
      <c r="N130" s="47"/>
      <c r="O130" s="47"/>
      <c r="XFC130" s="3"/>
      <c r="XFD130" s="1"/>
    </row>
    <row r="131" spans="1:15 16383:16384" s="7" customFormat="1" ht="55.5" customHeight="1" x14ac:dyDescent="0.2">
      <c r="A131" s="48"/>
      <c r="B131" s="49"/>
      <c r="C131" s="49"/>
      <c r="D131" s="49"/>
      <c r="E131" s="50"/>
      <c r="F131" s="51"/>
      <c r="G131" s="51"/>
      <c r="H131" s="52"/>
      <c r="I131" s="27" t="s">
        <v>191</v>
      </c>
      <c r="J131" s="47"/>
      <c r="K131" s="47"/>
      <c r="L131" s="47"/>
      <c r="M131" s="47"/>
      <c r="N131" s="47"/>
      <c r="O131" s="47"/>
      <c r="XFC131" s="3"/>
      <c r="XFD131" s="1"/>
    </row>
    <row r="132" spans="1:15 16383:16384" s="7" customFormat="1" ht="65.25" customHeight="1" x14ac:dyDescent="0.2">
      <c r="A132" s="48"/>
      <c r="B132" s="49"/>
      <c r="C132" s="49"/>
      <c r="D132" s="49"/>
      <c r="E132" s="50"/>
      <c r="F132" s="51"/>
      <c r="G132" s="51"/>
      <c r="H132" s="52"/>
      <c r="I132" s="27" t="s">
        <v>192</v>
      </c>
      <c r="J132" s="47"/>
      <c r="K132" s="47"/>
      <c r="L132" s="47"/>
      <c r="M132" s="47"/>
      <c r="N132" s="47"/>
      <c r="O132" s="47"/>
      <c r="XFC132" s="3"/>
      <c r="XFD132" s="1"/>
    </row>
    <row r="133" spans="1:15 16383:16384" s="7" customFormat="1" ht="64.5" customHeight="1" x14ac:dyDescent="0.2">
      <c r="A133" s="48"/>
      <c r="B133" s="49"/>
      <c r="C133" s="49"/>
      <c r="D133" s="49"/>
      <c r="E133" s="50"/>
      <c r="F133" s="51"/>
      <c r="G133" s="51"/>
      <c r="H133" s="52"/>
      <c r="I133" s="27" t="s">
        <v>193</v>
      </c>
      <c r="J133" s="47"/>
      <c r="K133" s="47"/>
      <c r="L133" s="47"/>
      <c r="M133" s="47"/>
      <c r="N133" s="47"/>
      <c r="O133" s="47"/>
      <c r="XFC133" s="3"/>
      <c r="XFD133" s="1"/>
    </row>
    <row r="134" spans="1:15 16383:16384" s="7" customFormat="1" ht="62.25" customHeight="1" x14ac:dyDescent="0.2">
      <c r="A134" s="48"/>
      <c r="B134" s="49"/>
      <c r="C134" s="49"/>
      <c r="D134" s="49"/>
      <c r="E134" s="50" t="s">
        <v>194</v>
      </c>
      <c r="F134" s="49" t="s">
        <v>367</v>
      </c>
      <c r="G134" s="49" t="s">
        <v>368</v>
      </c>
      <c r="H134" s="49" t="s">
        <v>369</v>
      </c>
      <c r="I134" s="27" t="s">
        <v>195</v>
      </c>
      <c r="J134" s="47" t="s">
        <v>36</v>
      </c>
      <c r="K134" s="47">
        <v>8</v>
      </c>
      <c r="L134" s="47" t="s">
        <v>196</v>
      </c>
      <c r="M134" s="47">
        <v>7</v>
      </c>
      <c r="N134" s="47" t="s">
        <v>38</v>
      </c>
      <c r="O134" s="47"/>
      <c r="XFC134" s="3"/>
      <c r="XFD134" s="1"/>
    </row>
    <row r="135" spans="1:15 16383:16384" s="7" customFormat="1" ht="66.75" customHeight="1" x14ac:dyDescent="0.2">
      <c r="A135" s="48"/>
      <c r="B135" s="49"/>
      <c r="C135" s="49"/>
      <c r="D135" s="49"/>
      <c r="E135" s="50"/>
      <c r="F135" s="50"/>
      <c r="G135" s="50"/>
      <c r="H135" s="50"/>
      <c r="I135" s="27" t="s">
        <v>197</v>
      </c>
      <c r="J135" s="47"/>
      <c r="K135" s="47"/>
      <c r="L135" s="47"/>
      <c r="M135" s="47"/>
      <c r="N135" s="47"/>
      <c r="O135" s="47"/>
      <c r="XFC135" s="3"/>
      <c r="XFD135" s="1"/>
    </row>
    <row r="136" spans="1:15 16383:16384" s="7" customFormat="1" ht="72" customHeight="1" x14ac:dyDescent="0.2">
      <c r="A136" s="48"/>
      <c r="B136" s="49"/>
      <c r="C136" s="49"/>
      <c r="D136" s="49"/>
      <c r="E136" s="50"/>
      <c r="F136" s="50"/>
      <c r="G136" s="50"/>
      <c r="H136" s="50"/>
      <c r="I136" s="27" t="s">
        <v>198</v>
      </c>
      <c r="J136" s="47"/>
      <c r="K136" s="47"/>
      <c r="L136" s="47"/>
      <c r="M136" s="47"/>
      <c r="N136" s="47"/>
      <c r="O136" s="47"/>
      <c r="XFC136" s="3"/>
      <c r="XFD136" s="1"/>
    </row>
    <row r="137" spans="1:15 16383:16384" s="7" customFormat="1" ht="67.5" customHeight="1" x14ac:dyDescent="0.2">
      <c r="A137" s="48"/>
      <c r="B137" s="49"/>
      <c r="C137" s="49"/>
      <c r="D137" s="49"/>
      <c r="E137" s="50"/>
      <c r="F137" s="50"/>
      <c r="G137" s="50"/>
      <c r="H137" s="50"/>
      <c r="I137" s="27" t="s">
        <v>199</v>
      </c>
      <c r="J137" s="47"/>
      <c r="K137" s="47"/>
      <c r="L137" s="47"/>
      <c r="M137" s="47"/>
      <c r="N137" s="47"/>
      <c r="O137" s="47"/>
      <c r="XFC137" s="3"/>
      <c r="XFD137" s="1"/>
    </row>
    <row r="138" spans="1:15 16383:16384" s="7" customFormat="1" ht="90" customHeight="1" x14ac:dyDescent="0.2">
      <c r="A138" s="48"/>
      <c r="B138" s="49"/>
      <c r="C138" s="49"/>
      <c r="D138" s="49"/>
      <c r="E138" s="50"/>
      <c r="F138" s="50"/>
      <c r="G138" s="50"/>
      <c r="H138" s="50"/>
      <c r="I138" s="27" t="s">
        <v>200</v>
      </c>
      <c r="J138" s="47"/>
      <c r="K138" s="47"/>
      <c r="L138" s="47"/>
      <c r="M138" s="47"/>
      <c r="N138" s="47"/>
      <c r="O138" s="47"/>
      <c r="XFC138" s="3"/>
      <c r="XFD138" s="1"/>
    </row>
    <row r="139" spans="1:15 16383:16384" s="7" customFormat="1" ht="76.5" customHeight="1" x14ac:dyDescent="0.2">
      <c r="A139" s="48"/>
      <c r="B139" s="49"/>
      <c r="C139" s="49"/>
      <c r="D139" s="49"/>
      <c r="E139" s="50"/>
      <c r="F139" s="50"/>
      <c r="G139" s="50"/>
      <c r="H139" s="50"/>
      <c r="I139" s="27" t="s">
        <v>201</v>
      </c>
      <c r="J139" s="47"/>
      <c r="K139" s="47"/>
      <c r="L139" s="47"/>
      <c r="M139" s="47"/>
      <c r="N139" s="47"/>
      <c r="O139" s="47"/>
      <c r="XFC139" s="3"/>
      <c r="XFD139" s="1"/>
    </row>
    <row r="1048570" ht="12.75" customHeight="1" x14ac:dyDescent="0.2"/>
    <row r="1048571" ht="12.75" customHeight="1" x14ac:dyDescent="0.2"/>
    <row r="1048572" ht="12.75" customHeight="1" x14ac:dyDescent="0.2"/>
    <row r="1048573" ht="12.75" customHeight="1" x14ac:dyDescent="0.2"/>
    <row r="1048574" ht="12.75" customHeight="1" x14ac:dyDescent="0.2"/>
    <row r="1048575" ht="12.75" customHeight="1" x14ac:dyDescent="0.2"/>
    <row r="1048576" ht="12.75" customHeight="1" x14ac:dyDescent="0.2"/>
  </sheetData>
  <autoFilter ref="A13:O139" xr:uid="{00000000-0009-0000-0000-000000000000}"/>
  <mergeCells count="333">
    <mergeCell ref="A7:B7"/>
    <mergeCell ref="C7:E7"/>
    <mergeCell ref="A8:B8"/>
    <mergeCell ref="C8:E8"/>
    <mergeCell ref="A9:B9"/>
    <mergeCell ref="C9:E9"/>
    <mergeCell ref="A10:B10"/>
    <mergeCell ref="C10:E10"/>
    <mergeCell ref="A1:O1"/>
    <mergeCell ref="A3:B3"/>
    <mergeCell ref="C3:E3"/>
    <mergeCell ref="A4:B4"/>
    <mergeCell ref="C4:E4"/>
    <mergeCell ref="A5:B5"/>
    <mergeCell ref="C5:E5"/>
    <mergeCell ref="A6:B6"/>
    <mergeCell ref="C6:E6"/>
    <mergeCell ref="A11:O11"/>
    <mergeCell ref="A12:D12"/>
    <mergeCell ref="E12:H12"/>
    <mergeCell ref="I12:O12"/>
    <mergeCell ref="A14:A23"/>
    <mergeCell ref="B14:B23"/>
    <mergeCell ref="C14:C23"/>
    <mergeCell ref="D14:D23"/>
    <mergeCell ref="E14:E17"/>
    <mergeCell ref="F14:F17"/>
    <mergeCell ref="G14:G17"/>
    <mergeCell ref="H14:H17"/>
    <mergeCell ref="J14:J17"/>
    <mergeCell ref="K14:K17"/>
    <mergeCell ref="L14:L17"/>
    <mergeCell ref="M14:M17"/>
    <mergeCell ref="N14:N17"/>
    <mergeCell ref="O14:O17"/>
    <mergeCell ref="E18:E20"/>
    <mergeCell ref="F18:F20"/>
    <mergeCell ref="G18:G20"/>
    <mergeCell ref="H18:H20"/>
    <mergeCell ref="J18:J20"/>
    <mergeCell ref="K18:K20"/>
    <mergeCell ref="L18:L20"/>
    <mergeCell ref="M18:M20"/>
    <mergeCell ref="N18:N20"/>
    <mergeCell ref="O18:O20"/>
    <mergeCell ref="E21:E23"/>
    <mergeCell ref="F21:F23"/>
    <mergeCell ref="G21:G23"/>
    <mergeCell ref="H21:H23"/>
    <mergeCell ref="J21:J23"/>
    <mergeCell ref="K21:K23"/>
    <mergeCell ref="L21:L23"/>
    <mergeCell ref="M21:M23"/>
    <mergeCell ref="N21:N23"/>
    <mergeCell ref="O21:O23"/>
    <mergeCell ref="A24:A37"/>
    <mergeCell ref="B24:B37"/>
    <mergeCell ref="C24:C37"/>
    <mergeCell ref="D24:D37"/>
    <mergeCell ref="E24:E28"/>
    <mergeCell ref="F24:F28"/>
    <mergeCell ref="G24:G28"/>
    <mergeCell ref="H24:H28"/>
    <mergeCell ref="J24:J28"/>
    <mergeCell ref="E32:E34"/>
    <mergeCell ref="F32:F34"/>
    <mergeCell ref="G32:G34"/>
    <mergeCell ref="H32:H34"/>
    <mergeCell ref="J32:J34"/>
    <mergeCell ref="K24:K28"/>
    <mergeCell ref="L24:L28"/>
    <mergeCell ref="M24:M28"/>
    <mergeCell ref="N24:N28"/>
    <mergeCell ref="O24:O28"/>
    <mergeCell ref="E29:E31"/>
    <mergeCell ref="F29:F31"/>
    <mergeCell ref="G29:G31"/>
    <mergeCell ref="H29:H31"/>
    <mergeCell ref="J29:J31"/>
    <mergeCell ref="K29:K31"/>
    <mergeCell ref="L29:L31"/>
    <mergeCell ref="M29:M31"/>
    <mergeCell ref="N29:N31"/>
    <mergeCell ref="O29:O31"/>
    <mergeCell ref="K32:K34"/>
    <mergeCell ref="L32:L34"/>
    <mergeCell ref="M32:M34"/>
    <mergeCell ref="N32:N34"/>
    <mergeCell ref="O32:O34"/>
    <mergeCell ref="E35:E37"/>
    <mergeCell ref="F35:F37"/>
    <mergeCell ref="G35:G37"/>
    <mergeCell ref="H35:H37"/>
    <mergeCell ref="J35:J37"/>
    <mergeCell ref="K35:K37"/>
    <mergeCell ref="L35:L37"/>
    <mergeCell ref="M35:M37"/>
    <mergeCell ref="N35:N37"/>
    <mergeCell ref="O35:O37"/>
    <mergeCell ref="A38:A54"/>
    <mergeCell ref="B38:B54"/>
    <mergeCell ref="C38:C54"/>
    <mergeCell ref="D38:D54"/>
    <mergeCell ref="E38:E40"/>
    <mergeCell ref="F38:F40"/>
    <mergeCell ref="G38:G40"/>
    <mergeCell ref="H38:H40"/>
    <mergeCell ref="J38:J40"/>
    <mergeCell ref="E44:E49"/>
    <mergeCell ref="F44:F49"/>
    <mergeCell ref="G44:G49"/>
    <mergeCell ref="H44:H49"/>
    <mergeCell ref="J44:J49"/>
    <mergeCell ref="K38:K40"/>
    <mergeCell ref="L38:L40"/>
    <mergeCell ref="M38:M40"/>
    <mergeCell ref="N38:N40"/>
    <mergeCell ref="O38:O40"/>
    <mergeCell ref="E41:E43"/>
    <mergeCell ref="F41:F43"/>
    <mergeCell ref="G41:G43"/>
    <mergeCell ref="H41:H43"/>
    <mergeCell ref="J41:J43"/>
    <mergeCell ref="K41:K43"/>
    <mergeCell ref="L41:L43"/>
    <mergeCell ref="M41:M43"/>
    <mergeCell ref="N41:N43"/>
    <mergeCell ref="O41:O43"/>
    <mergeCell ref="K44:K49"/>
    <mergeCell ref="L44:L49"/>
    <mergeCell ref="M44:M49"/>
    <mergeCell ref="N44:N49"/>
    <mergeCell ref="O44:O49"/>
    <mergeCell ref="E50:E54"/>
    <mergeCell ref="F50:F54"/>
    <mergeCell ref="G50:G54"/>
    <mergeCell ref="H50:H54"/>
    <mergeCell ref="J50:J54"/>
    <mergeCell ref="K50:K54"/>
    <mergeCell ref="L50:L54"/>
    <mergeCell ref="M50:M54"/>
    <mergeCell ref="N50:N54"/>
    <mergeCell ref="O50:O54"/>
    <mergeCell ref="A55:A61"/>
    <mergeCell ref="B55:B61"/>
    <mergeCell ref="C55:C61"/>
    <mergeCell ref="D55:D61"/>
    <mergeCell ref="E55:E58"/>
    <mergeCell ref="F55:F58"/>
    <mergeCell ref="G55:G58"/>
    <mergeCell ref="H55:H58"/>
    <mergeCell ref="J55:J58"/>
    <mergeCell ref="K55:K58"/>
    <mergeCell ref="L55:L58"/>
    <mergeCell ref="M55:M58"/>
    <mergeCell ref="N55:N58"/>
    <mergeCell ref="O55:O58"/>
    <mergeCell ref="E59:E61"/>
    <mergeCell ref="F59:F61"/>
    <mergeCell ref="G59:G61"/>
    <mergeCell ref="H59:H61"/>
    <mergeCell ref="J59:J61"/>
    <mergeCell ref="K59:K61"/>
    <mergeCell ref="L59:L61"/>
    <mergeCell ref="M59:M61"/>
    <mergeCell ref="N59:N61"/>
    <mergeCell ref="O59:O61"/>
    <mergeCell ref="A62:A67"/>
    <mergeCell ref="B62:B67"/>
    <mergeCell ref="C62:C67"/>
    <mergeCell ref="D62:D67"/>
    <mergeCell ref="E62:E64"/>
    <mergeCell ref="F62:F64"/>
    <mergeCell ref="G62:G64"/>
    <mergeCell ref="H62:H64"/>
    <mergeCell ref="J62:J64"/>
    <mergeCell ref="K62:K64"/>
    <mergeCell ref="L62:L64"/>
    <mergeCell ref="M62:M64"/>
    <mergeCell ref="N62:N64"/>
    <mergeCell ref="O62:O64"/>
    <mergeCell ref="E65:E67"/>
    <mergeCell ref="F65:F67"/>
    <mergeCell ref="G65:G67"/>
    <mergeCell ref="H65:H67"/>
    <mergeCell ref="J65:J67"/>
    <mergeCell ref="K65:K67"/>
    <mergeCell ref="L65:L67"/>
    <mergeCell ref="M65:M67"/>
    <mergeCell ref="N65:N67"/>
    <mergeCell ref="O65:O67"/>
    <mergeCell ref="A68:A103"/>
    <mergeCell ref="B68:B103"/>
    <mergeCell ref="C68:C103"/>
    <mergeCell ref="D68:D103"/>
    <mergeCell ref="E68:E72"/>
    <mergeCell ref="F68:F72"/>
    <mergeCell ref="G68:G72"/>
    <mergeCell ref="H68:H72"/>
    <mergeCell ref="J68:J72"/>
    <mergeCell ref="E78:E82"/>
    <mergeCell ref="F78:F82"/>
    <mergeCell ref="G78:G82"/>
    <mergeCell ref="H78:H82"/>
    <mergeCell ref="J78:J82"/>
    <mergeCell ref="E88:E93"/>
    <mergeCell ref="F88:F93"/>
    <mergeCell ref="G88:G93"/>
    <mergeCell ref="H88:H93"/>
    <mergeCell ref="J88:J93"/>
    <mergeCell ref="E99:E103"/>
    <mergeCell ref="F99:F103"/>
    <mergeCell ref="G99:G103"/>
    <mergeCell ref="H99:H103"/>
    <mergeCell ref="J99:J103"/>
    <mergeCell ref="K68:K72"/>
    <mergeCell ref="L68:L72"/>
    <mergeCell ref="M68:M72"/>
    <mergeCell ref="N68:N72"/>
    <mergeCell ref="O68:O72"/>
    <mergeCell ref="E73:E77"/>
    <mergeCell ref="F73:F77"/>
    <mergeCell ref="G73:G77"/>
    <mergeCell ref="H73:H77"/>
    <mergeCell ref="J73:J77"/>
    <mergeCell ref="K73:K77"/>
    <mergeCell ref="L73:L77"/>
    <mergeCell ref="M73:M77"/>
    <mergeCell ref="N73:N77"/>
    <mergeCell ref="O73:O77"/>
    <mergeCell ref="K78:K82"/>
    <mergeCell ref="L78:L82"/>
    <mergeCell ref="M78:M82"/>
    <mergeCell ref="N78:N82"/>
    <mergeCell ref="O78:O82"/>
    <mergeCell ref="E83:E87"/>
    <mergeCell ref="F83:F87"/>
    <mergeCell ref="G83:G87"/>
    <mergeCell ref="H83:H87"/>
    <mergeCell ref="J83:J87"/>
    <mergeCell ref="K83:K87"/>
    <mergeCell ref="L83:L87"/>
    <mergeCell ref="M83:M87"/>
    <mergeCell ref="N83:N87"/>
    <mergeCell ref="O83:O87"/>
    <mergeCell ref="K88:K93"/>
    <mergeCell ref="L88:L93"/>
    <mergeCell ref="M88:M93"/>
    <mergeCell ref="N88:N93"/>
    <mergeCell ref="O88:O93"/>
    <mergeCell ref="E94:E98"/>
    <mergeCell ref="F94:F98"/>
    <mergeCell ref="G94:G98"/>
    <mergeCell ref="H94:H98"/>
    <mergeCell ref="J94:J98"/>
    <mergeCell ref="K94:K98"/>
    <mergeCell ref="L94:L98"/>
    <mergeCell ref="M94:M98"/>
    <mergeCell ref="N94:N98"/>
    <mergeCell ref="O94:O98"/>
    <mergeCell ref="K99:K103"/>
    <mergeCell ref="L99:L103"/>
    <mergeCell ref="M99:M103"/>
    <mergeCell ref="N99:N103"/>
    <mergeCell ref="O99:O103"/>
    <mergeCell ref="A104:A127"/>
    <mergeCell ref="B104:B127"/>
    <mergeCell ref="C104:C127"/>
    <mergeCell ref="D104:D127"/>
    <mergeCell ref="E104:E110"/>
    <mergeCell ref="F104:F110"/>
    <mergeCell ref="G104:G110"/>
    <mergeCell ref="H104:H110"/>
    <mergeCell ref="J104:J110"/>
    <mergeCell ref="K104:K110"/>
    <mergeCell ref="L104:L110"/>
    <mergeCell ref="M104:M110"/>
    <mergeCell ref="N104:N110"/>
    <mergeCell ref="O104:O110"/>
    <mergeCell ref="E111:E117"/>
    <mergeCell ref="F111:F117"/>
    <mergeCell ref="G111:G117"/>
    <mergeCell ref="H111:H117"/>
    <mergeCell ref="J111:J117"/>
    <mergeCell ref="K111:K117"/>
    <mergeCell ref="L111:L117"/>
    <mergeCell ref="M111:M117"/>
    <mergeCell ref="N111:N117"/>
    <mergeCell ref="O111:O117"/>
    <mergeCell ref="E118:E123"/>
    <mergeCell ref="F118:F123"/>
    <mergeCell ref="G118:G123"/>
    <mergeCell ref="H118:H123"/>
    <mergeCell ref="J118:J123"/>
    <mergeCell ref="K118:K123"/>
    <mergeCell ref="L118:L123"/>
    <mergeCell ref="M118:M123"/>
    <mergeCell ref="N118:N123"/>
    <mergeCell ref="O118:O123"/>
    <mergeCell ref="N134:N139"/>
    <mergeCell ref="E124:E127"/>
    <mergeCell ref="F124:F127"/>
    <mergeCell ref="G124:G127"/>
    <mergeCell ref="H124:H127"/>
    <mergeCell ref="J124:J127"/>
    <mergeCell ref="K124:K127"/>
    <mergeCell ref="L124:L127"/>
    <mergeCell ref="M124:M127"/>
    <mergeCell ref="N124:N127"/>
    <mergeCell ref="O134:O139"/>
    <mergeCell ref="O124:O127"/>
    <mergeCell ref="A128:A139"/>
    <mergeCell ref="B128:B139"/>
    <mergeCell ref="C128:C139"/>
    <mergeCell ref="D128:D139"/>
    <mergeCell ref="E128:E133"/>
    <mergeCell ref="F128:F133"/>
    <mergeCell ref="G128:G133"/>
    <mergeCell ref="H128:H133"/>
    <mergeCell ref="J128:J133"/>
    <mergeCell ref="K128:K133"/>
    <mergeCell ref="L128:L133"/>
    <mergeCell ref="M128:M133"/>
    <mergeCell ref="N128:N133"/>
    <mergeCell ref="O128:O133"/>
    <mergeCell ref="E134:E139"/>
    <mergeCell ref="F134:F139"/>
    <mergeCell ref="G134:G139"/>
    <mergeCell ref="H134:H139"/>
    <mergeCell ref="J134:J139"/>
    <mergeCell ref="K134:K139"/>
    <mergeCell ref="L134:L139"/>
    <mergeCell ref="M134:M139"/>
  </mergeCells>
  <pageMargins left="0.6" right="0.35" top="0.47244094488188981" bottom="0.31496062992125984" header="0.43307086614173229" footer="0.51181102362204722"/>
  <pageSetup scale="35" orientation="portrait" r:id="rId1"/>
  <rowBreaks count="12" manualBreakCount="12">
    <brk id="11" max="7" man="1"/>
    <brk id="17" max="14" man="1"/>
    <brk id="23" max="16383" man="1"/>
    <brk id="32" max="14" man="1"/>
    <brk id="48" max="14" man="1"/>
    <brk id="50" max="14" man="1"/>
    <brk id="59" max="14" man="1"/>
    <brk id="66" max="14" man="1"/>
    <brk id="77" max="14" man="1"/>
    <brk id="101" max="14" man="1"/>
    <brk id="109" max="14" man="1"/>
    <brk id="117" max="14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showGridLines="0" view="pageBreakPreview" zoomScale="85" zoomScaleNormal="85" zoomScalePageLayoutView="85" workbookViewId="0">
      <selection activeCell="D16" sqref="D16"/>
    </sheetView>
  </sheetViews>
  <sheetFormatPr baseColWidth="10" defaultColWidth="8.42578125" defaultRowHeight="15" x14ac:dyDescent="0.25"/>
  <cols>
    <col min="1" max="1" width="31.42578125" style="36" customWidth="1"/>
    <col min="2" max="2" width="15.42578125" style="36" customWidth="1"/>
    <col min="3" max="3" width="14.42578125" style="36" customWidth="1"/>
    <col min="4" max="4" width="40.28515625" style="36" customWidth="1"/>
    <col min="5" max="5" width="22.28515625" style="36" customWidth="1"/>
    <col min="6" max="6" width="34.7109375" style="36" customWidth="1"/>
    <col min="7" max="7" width="25.5703125" style="36" customWidth="1"/>
    <col min="8" max="16384" width="8.42578125" style="36"/>
  </cols>
  <sheetData>
    <row r="1" spans="1:7" ht="71.25" customHeight="1" x14ac:dyDescent="0.25"/>
    <row r="2" spans="1:7" s="37" customFormat="1" x14ac:dyDescent="0.2">
      <c r="A2" s="74"/>
      <c r="B2" s="74"/>
      <c r="C2" s="74"/>
      <c r="D2" s="74"/>
      <c r="E2" s="74"/>
      <c r="F2" s="74"/>
      <c r="G2" s="74"/>
    </row>
    <row r="3" spans="1:7" s="37" customFormat="1" ht="14.45" customHeight="1" x14ac:dyDescent="0.25">
      <c r="A3" s="75" t="s">
        <v>202</v>
      </c>
      <c r="B3" s="75"/>
      <c r="C3" s="75"/>
      <c r="D3" s="75"/>
      <c r="E3" s="75"/>
      <c r="F3" s="75"/>
      <c r="G3" s="75"/>
    </row>
    <row r="4" spans="1:7" s="37" customFormat="1" ht="15.75" x14ac:dyDescent="0.25">
      <c r="A4" s="38"/>
    </row>
    <row r="5" spans="1:7" s="37" customFormat="1" ht="75" customHeight="1" x14ac:dyDescent="0.2">
      <c r="A5" s="39" t="s">
        <v>0</v>
      </c>
      <c r="B5" s="69" t="s">
        <v>1</v>
      </c>
      <c r="C5" s="69"/>
      <c r="D5" s="69"/>
    </row>
    <row r="6" spans="1:7" s="37" customFormat="1" ht="33" customHeight="1" x14ac:dyDescent="0.2">
      <c r="A6" s="39" t="s">
        <v>2</v>
      </c>
      <c r="B6" s="69" t="s">
        <v>3</v>
      </c>
      <c r="C6" s="69"/>
      <c r="D6" s="69"/>
    </row>
    <row r="7" spans="1:7" s="37" customFormat="1" ht="18" customHeight="1" x14ac:dyDescent="0.2">
      <c r="A7" s="39" t="s">
        <v>4</v>
      </c>
      <c r="B7" s="69" t="s">
        <v>5</v>
      </c>
      <c r="C7" s="69"/>
      <c r="D7" s="69"/>
    </row>
    <row r="8" spans="1:7" s="37" customFormat="1" ht="18" customHeight="1" x14ac:dyDescent="0.2">
      <c r="A8" s="39" t="s">
        <v>6</v>
      </c>
      <c r="B8" s="69" t="s">
        <v>7</v>
      </c>
      <c r="C8" s="69"/>
      <c r="D8" s="69"/>
    </row>
    <row r="9" spans="1:7" s="37" customFormat="1" ht="18" customHeight="1" x14ac:dyDescent="0.2">
      <c r="A9" s="39" t="s">
        <v>8</v>
      </c>
      <c r="B9" s="69" t="s">
        <v>9</v>
      </c>
      <c r="C9" s="69"/>
      <c r="D9" s="69"/>
    </row>
    <row r="10" spans="1:7" s="37" customFormat="1" ht="18" customHeight="1" x14ac:dyDescent="0.2">
      <c r="A10" s="39" t="s">
        <v>10</v>
      </c>
      <c r="B10" s="69" t="s">
        <v>11</v>
      </c>
      <c r="C10" s="69"/>
      <c r="D10" s="69"/>
    </row>
    <row r="11" spans="1:7" s="37" customFormat="1" ht="18" customHeight="1" x14ac:dyDescent="0.2">
      <c r="A11" s="39" t="s">
        <v>12</v>
      </c>
      <c r="B11" s="69" t="s">
        <v>13</v>
      </c>
      <c r="C11" s="69"/>
      <c r="D11" s="69"/>
    </row>
    <row r="12" spans="1:7" s="37" customFormat="1" ht="61.5" customHeight="1" x14ac:dyDescent="0.25">
      <c r="A12" s="39" t="s">
        <v>14</v>
      </c>
      <c r="B12" s="73" t="s">
        <v>15</v>
      </c>
      <c r="C12" s="73"/>
      <c r="D12" s="73"/>
      <c r="E12" s="40"/>
    </row>
    <row r="13" spans="1:7" ht="18" customHeight="1" x14ac:dyDescent="0.2">
      <c r="A13" s="39" t="s">
        <v>16</v>
      </c>
      <c r="B13" s="69" t="s">
        <v>372</v>
      </c>
      <c r="C13" s="69"/>
      <c r="D13" s="69"/>
      <c r="E13" s="37"/>
      <c r="F13" s="37"/>
      <c r="G13" s="37"/>
    </row>
    <row r="15" spans="1:7" ht="18" customHeight="1" x14ac:dyDescent="0.25">
      <c r="A15" s="70" t="s">
        <v>203</v>
      </c>
      <c r="B15" s="70"/>
      <c r="C15" s="70"/>
      <c r="D15" s="70"/>
      <c r="E15" s="70"/>
      <c r="F15" s="70"/>
      <c r="G15" s="70"/>
    </row>
    <row r="16" spans="1:7" ht="31.5" customHeight="1" x14ac:dyDescent="0.25">
      <c r="A16" s="41" t="s">
        <v>204</v>
      </c>
      <c r="B16" s="41" t="s">
        <v>205</v>
      </c>
      <c r="C16" s="41" t="s">
        <v>206</v>
      </c>
      <c r="D16" s="41" t="s">
        <v>207</v>
      </c>
      <c r="E16" s="42" t="s">
        <v>208</v>
      </c>
      <c r="F16" s="71" t="s">
        <v>209</v>
      </c>
      <c r="G16" s="72"/>
    </row>
    <row r="17" spans="1:7" ht="105" x14ac:dyDescent="0.25">
      <c r="A17" s="39" t="s">
        <v>210</v>
      </c>
      <c r="B17" s="39" t="s">
        <v>211</v>
      </c>
      <c r="C17" s="39" t="s">
        <v>212</v>
      </c>
      <c r="D17" s="43" t="s">
        <v>213</v>
      </c>
      <c r="E17" s="43" t="s">
        <v>214</v>
      </c>
      <c r="F17" s="43" t="s">
        <v>215</v>
      </c>
      <c r="G17" s="43" t="s">
        <v>216</v>
      </c>
    </row>
    <row r="18" spans="1:7" ht="120" x14ac:dyDescent="0.25">
      <c r="A18" s="39" t="s">
        <v>217</v>
      </c>
      <c r="B18" s="39" t="s">
        <v>218</v>
      </c>
      <c r="C18" s="39" t="s">
        <v>212</v>
      </c>
      <c r="D18" s="43" t="s">
        <v>219</v>
      </c>
      <c r="E18" s="43" t="s">
        <v>220</v>
      </c>
      <c r="F18" s="43" t="s">
        <v>221</v>
      </c>
      <c r="G18" s="43" t="s">
        <v>222</v>
      </c>
    </row>
    <row r="19" spans="1:7" ht="90" x14ac:dyDescent="0.25">
      <c r="A19" s="39" t="s">
        <v>223</v>
      </c>
      <c r="B19" s="39" t="s">
        <v>224</v>
      </c>
      <c r="C19" s="39" t="s">
        <v>212</v>
      </c>
      <c r="D19" s="43" t="s">
        <v>225</v>
      </c>
      <c r="E19" s="43" t="s">
        <v>226</v>
      </c>
      <c r="F19" s="43" t="s">
        <v>227</v>
      </c>
      <c r="G19" s="43" t="s">
        <v>228</v>
      </c>
    </row>
    <row r="20" spans="1:7" ht="120" x14ac:dyDescent="0.25">
      <c r="A20" s="39" t="s">
        <v>229</v>
      </c>
      <c r="B20" s="39" t="s">
        <v>230</v>
      </c>
      <c r="C20" s="39" t="s">
        <v>212</v>
      </c>
      <c r="D20" s="43" t="s">
        <v>231</v>
      </c>
      <c r="E20" s="43" t="s">
        <v>232</v>
      </c>
      <c r="F20" s="43" t="s">
        <v>233</v>
      </c>
      <c r="G20" s="43" t="s">
        <v>234</v>
      </c>
    </row>
    <row r="21" spans="1:7" ht="75" x14ac:dyDescent="0.25">
      <c r="A21" s="39" t="s">
        <v>235</v>
      </c>
      <c r="B21" s="39" t="s">
        <v>236</v>
      </c>
      <c r="C21" s="39" t="s">
        <v>212</v>
      </c>
      <c r="D21" s="43" t="s">
        <v>237</v>
      </c>
      <c r="E21" s="43" t="s">
        <v>238</v>
      </c>
      <c r="F21" s="43" t="s">
        <v>239</v>
      </c>
      <c r="G21" s="43" t="s">
        <v>240</v>
      </c>
    </row>
    <row r="22" spans="1:7" ht="90" x14ac:dyDescent="0.25">
      <c r="A22" s="39" t="s">
        <v>241</v>
      </c>
      <c r="B22" s="39" t="s">
        <v>242</v>
      </c>
      <c r="C22" s="39" t="s">
        <v>212</v>
      </c>
      <c r="D22" s="43" t="s">
        <v>243</v>
      </c>
      <c r="E22" s="43" t="s">
        <v>244</v>
      </c>
      <c r="F22" s="43" t="s">
        <v>245</v>
      </c>
      <c r="G22" s="43" t="s">
        <v>246</v>
      </c>
    </row>
    <row r="23" spans="1:7" ht="75" x14ac:dyDescent="0.25">
      <c r="A23" s="39" t="s">
        <v>247</v>
      </c>
      <c r="B23" s="39" t="s">
        <v>248</v>
      </c>
      <c r="C23" s="39" t="s">
        <v>212</v>
      </c>
      <c r="D23" s="43" t="s">
        <v>249</v>
      </c>
      <c r="E23" s="43" t="s">
        <v>250</v>
      </c>
      <c r="F23" s="43" t="s">
        <v>251</v>
      </c>
      <c r="G23" s="43" t="s">
        <v>252</v>
      </c>
    </row>
    <row r="24" spans="1:7" ht="90" x14ac:dyDescent="0.25">
      <c r="A24" s="39" t="s">
        <v>253</v>
      </c>
      <c r="B24" s="39" t="s">
        <v>254</v>
      </c>
      <c r="C24" s="39" t="s">
        <v>212</v>
      </c>
      <c r="D24" s="43" t="s">
        <v>255</v>
      </c>
      <c r="E24" s="43" t="s">
        <v>256</v>
      </c>
      <c r="F24" s="43" t="s">
        <v>257</v>
      </c>
      <c r="G24" s="43" t="s">
        <v>258</v>
      </c>
    </row>
    <row r="25" spans="1:7" ht="228.75" customHeight="1" x14ac:dyDescent="0.25">
      <c r="A25" s="39" t="s">
        <v>259</v>
      </c>
      <c r="B25" s="39" t="s">
        <v>260</v>
      </c>
      <c r="C25" s="39" t="s">
        <v>261</v>
      </c>
      <c r="D25" s="43" t="s">
        <v>262</v>
      </c>
      <c r="E25" s="43" t="s">
        <v>263</v>
      </c>
      <c r="F25" s="43" t="s">
        <v>264</v>
      </c>
      <c r="G25" s="43" t="s">
        <v>265</v>
      </c>
    </row>
  </sheetData>
  <mergeCells count="13">
    <mergeCell ref="A2:G2"/>
    <mergeCell ref="A3:G3"/>
    <mergeCell ref="B5:D5"/>
    <mergeCell ref="B6:D6"/>
    <mergeCell ref="B7:D7"/>
    <mergeCell ref="B13:D13"/>
    <mergeCell ref="A15:G15"/>
    <mergeCell ref="F16:G16"/>
    <mergeCell ref="B8:D8"/>
    <mergeCell ref="B9:D9"/>
    <mergeCell ref="B10:D10"/>
    <mergeCell ref="B11:D11"/>
    <mergeCell ref="B12:D12"/>
  </mergeCells>
  <pageMargins left="0.55118110236220474" right="0.35433070866141736" top="0.43307086614173229" bottom="0.15748031496062992" header="0.6692913385826772" footer="0.51181102362204722"/>
  <pageSetup paperSize="5" scale="9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4"/>
  <sheetViews>
    <sheetView showGridLines="0" view="pageBreakPreview" zoomScale="85" zoomScaleNormal="93" zoomScalePageLayoutView="85" workbookViewId="0">
      <selection activeCell="B4" sqref="B4:C4"/>
    </sheetView>
  </sheetViews>
  <sheetFormatPr baseColWidth="10" defaultColWidth="8.42578125" defaultRowHeight="15" x14ac:dyDescent="0.25"/>
  <cols>
    <col min="1" max="1" width="29.7109375" style="9" customWidth="1"/>
    <col min="2" max="2" width="49.28515625" style="9" customWidth="1"/>
    <col min="3" max="3" width="18.7109375" style="9" customWidth="1"/>
    <col min="5" max="16383" width="8.42578125" style="9"/>
    <col min="16384" max="16384" width="11.5703125" style="9" customWidth="1"/>
  </cols>
  <sheetData>
    <row r="1" spans="1:4" ht="68.25" customHeight="1" x14ac:dyDescent="0.25">
      <c r="A1" s="79"/>
      <c r="B1" s="79"/>
      <c r="C1" s="79"/>
    </row>
    <row r="2" spans="1:4" s="3" customFormat="1" ht="20.25" customHeight="1" x14ac:dyDescent="0.25">
      <c r="A2" s="80" t="s">
        <v>288</v>
      </c>
      <c r="B2" s="80"/>
      <c r="C2" s="80"/>
      <c r="D2" s="10"/>
    </row>
    <row r="3" spans="1:4" s="3" customFormat="1" ht="5.85" customHeight="1" x14ac:dyDescent="0.25">
      <c r="A3" s="11"/>
      <c r="D3" s="10"/>
    </row>
    <row r="4" spans="1:4" s="3" customFormat="1" ht="63" customHeight="1" x14ac:dyDescent="0.25">
      <c r="A4" s="12" t="s">
        <v>0</v>
      </c>
      <c r="B4" s="76" t="s">
        <v>1</v>
      </c>
      <c r="C4" s="76"/>
      <c r="D4" s="10"/>
    </row>
    <row r="5" spans="1:4" s="3" customFormat="1" ht="32.25" customHeight="1" x14ac:dyDescent="0.25">
      <c r="A5" s="12" t="s">
        <v>2</v>
      </c>
      <c r="B5" s="76" t="s">
        <v>3</v>
      </c>
      <c r="C5" s="76"/>
      <c r="D5" s="10"/>
    </row>
    <row r="6" spans="1:4" s="3" customFormat="1" ht="15.75" customHeight="1" x14ac:dyDescent="0.25">
      <c r="A6" s="12" t="s">
        <v>4</v>
      </c>
      <c r="B6" s="76" t="s">
        <v>5</v>
      </c>
      <c r="C6" s="76"/>
      <c r="D6" s="10"/>
    </row>
    <row r="7" spans="1:4" s="3" customFormat="1" ht="15.75" customHeight="1" x14ac:dyDescent="0.25">
      <c r="A7" s="12" t="s">
        <v>6</v>
      </c>
      <c r="B7" s="76" t="s">
        <v>7</v>
      </c>
      <c r="C7" s="76"/>
      <c r="D7" s="10"/>
    </row>
    <row r="8" spans="1:4" s="3" customFormat="1" ht="15.75" customHeight="1" x14ac:dyDescent="0.25">
      <c r="A8" s="12" t="s">
        <v>8</v>
      </c>
      <c r="B8" s="76" t="s">
        <v>9</v>
      </c>
      <c r="C8" s="76"/>
      <c r="D8" s="10"/>
    </row>
    <row r="9" spans="1:4" s="3" customFormat="1" ht="15.75" customHeight="1" x14ac:dyDescent="0.25">
      <c r="A9" s="12" t="s">
        <v>10</v>
      </c>
      <c r="B9" s="76" t="s">
        <v>11</v>
      </c>
      <c r="C9" s="76"/>
      <c r="D9" s="10"/>
    </row>
    <row r="10" spans="1:4" s="3" customFormat="1" ht="15.75" customHeight="1" x14ac:dyDescent="0.25">
      <c r="A10" s="12" t="s">
        <v>12</v>
      </c>
      <c r="B10" s="76" t="s">
        <v>13</v>
      </c>
      <c r="C10" s="76"/>
      <c r="D10" s="10"/>
    </row>
    <row r="11" spans="1:4" s="3" customFormat="1" ht="51.95" customHeight="1" x14ac:dyDescent="0.25">
      <c r="A11" s="12" t="s">
        <v>266</v>
      </c>
      <c r="B11" s="78" t="s">
        <v>15</v>
      </c>
      <c r="C11" s="78"/>
      <c r="D11" s="10"/>
    </row>
    <row r="12" spans="1:4" s="3" customFormat="1" ht="15.75" customHeight="1" x14ac:dyDescent="0.25">
      <c r="A12" s="12" t="s">
        <v>16</v>
      </c>
      <c r="B12" s="76" t="s">
        <v>372</v>
      </c>
      <c r="C12" s="76"/>
      <c r="D12" s="10"/>
    </row>
    <row r="13" spans="1:4" x14ac:dyDescent="0.25">
      <c r="A13" s="13"/>
      <c r="B13" s="14"/>
      <c r="C13" s="14"/>
    </row>
    <row r="14" spans="1:4" x14ac:dyDescent="0.25">
      <c r="A14" s="77" t="s">
        <v>267</v>
      </c>
      <c r="B14" s="77"/>
      <c r="C14" s="77"/>
    </row>
    <row r="15" spans="1:4" hidden="1" x14ac:dyDescent="0.25">
      <c r="B15" s="9" t="s">
        <v>268</v>
      </c>
      <c r="C15" s="9" t="s">
        <v>269</v>
      </c>
    </row>
    <row r="16" spans="1:4" ht="27" customHeight="1" x14ac:dyDescent="0.25">
      <c r="A16" s="8" t="s">
        <v>30</v>
      </c>
      <c r="B16" s="8" t="s">
        <v>270</v>
      </c>
      <c r="C16" s="15" t="s">
        <v>271</v>
      </c>
    </row>
    <row r="17" spans="1:3" ht="30.75" x14ac:dyDescent="0.25">
      <c r="A17" s="16" t="s">
        <v>272</v>
      </c>
      <c r="B17" s="17" t="s">
        <v>273</v>
      </c>
      <c r="C17" s="18">
        <v>23</v>
      </c>
    </row>
    <row r="18" spans="1:3" ht="30.75" x14ac:dyDescent="0.25">
      <c r="A18" s="16" t="s">
        <v>274</v>
      </c>
      <c r="B18" s="17" t="s">
        <v>275</v>
      </c>
      <c r="C18" s="19">
        <v>26</v>
      </c>
    </row>
    <row r="19" spans="1:3" ht="30.75" x14ac:dyDescent="0.25">
      <c r="A19" s="16" t="s">
        <v>276</v>
      </c>
      <c r="B19" s="17" t="s">
        <v>277</v>
      </c>
      <c r="C19" s="19">
        <v>21</v>
      </c>
    </row>
    <row r="20" spans="1:3" ht="30.75" x14ac:dyDescent="0.25">
      <c r="A20" s="16" t="s">
        <v>278</v>
      </c>
      <c r="B20" s="17" t="s">
        <v>279</v>
      </c>
      <c r="C20" s="18">
        <v>23</v>
      </c>
    </row>
    <row r="21" spans="1:3" ht="30.75" x14ac:dyDescent="0.25">
      <c r="A21" s="16" t="s">
        <v>280</v>
      </c>
      <c r="B21" s="17" t="s">
        <v>281</v>
      </c>
      <c r="C21" s="18">
        <v>20</v>
      </c>
    </row>
    <row r="22" spans="1:3" ht="30.75" x14ac:dyDescent="0.25">
      <c r="A22" s="16" t="s">
        <v>282</v>
      </c>
      <c r="B22" s="17" t="s">
        <v>283</v>
      </c>
      <c r="C22" s="18">
        <v>18</v>
      </c>
    </row>
    <row r="23" spans="1:3" ht="15.75" x14ac:dyDescent="0.25">
      <c r="A23" s="16" t="s">
        <v>284</v>
      </c>
      <c r="B23" s="17" t="s">
        <v>285</v>
      </c>
      <c r="C23" s="18">
        <v>8</v>
      </c>
    </row>
    <row r="24" spans="1:3" x14ac:dyDescent="0.25">
      <c r="A24" s="20" t="s">
        <v>286</v>
      </c>
      <c r="B24" s="20" t="s">
        <v>287</v>
      </c>
      <c r="C24" s="21">
        <f>SUM(C17:C23)</f>
        <v>139</v>
      </c>
    </row>
  </sheetData>
  <mergeCells count="12">
    <mergeCell ref="A1:C1"/>
    <mergeCell ref="A2:C2"/>
    <mergeCell ref="B4:C4"/>
    <mergeCell ref="B5:C5"/>
    <mergeCell ref="B6:C6"/>
    <mergeCell ref="B12:C12"/>
    <mergeCell ref="A14:C14"/>
    <mergeCell ref="B7:C7"/>
    <mergeCell ref="B8:C8"/>
    <mergeCell ref="B9:C9"/>
    <mergeCell ref="B10:C10"/>
    <mergeCell ref="B11:C11"/>
  </mergeCells>
  <pageMargins left="0.70069444444444495" right="0.70069444444444495" top="0.75208333333333299" bottom="0.75208333333333299" header="0.511811023622047" footer="0.511811023622047"/>
  <pageSetup scale="92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AE2D1-A622-4889-A77D-4B2BF99DE012}">
  <dimension ref="A1:XEL1048477"/>
  <sheetViews>
    <sheetView showGridLines="0" tabSelected="1" view="pageBreakPreview" topLeftCell="A33" zoomScale="67" zoomScaleNormal="67" zoomScaleSheetLayoutView="67" zoomScalePageLayoutView="85" workbookViewId="0">
      <selection activeCell="F36" sqref="F36"/>
    </sheetView>
  </sheetViews>
  <sheetFormatPr baseColWidth="10" defaultColWidth="10.42578125" defaultRowHeight="99.75" customHeight="1" x14ac:dyDescent="0.2"/>
  <cols>
    <col min="1" max="1" width="13" style="1" customWidth="1"/>
    <col min="2" max="2" width="23.28515625" style="1" customWidth="1"/>
    <col min="3" max="3" width="32.5703125" style="1" customWidth="1"/>
    <col min="4" max="4" width="18.140625" style="1" customWidth="1"/>
    <col min="5" max="5" width="19.140625" style="1" customWidth="1"/>
    <col min="6" max="6" width="25.7109375" style="1" customWidth="1"/>
    <col min="7" max="7" width="26.28515625" style="1" customWidth="1"/>
    <col min="8" max="8" width="27.140625" style="1" customWidth="1"/>
    <col min="9" max="16364" width="10.42578125" style="1"/>
    <col min="16365" max="16365" width="10.42578125" style="3"/>
    <col min="16366" max="16384" width="11.5703125" style="1" customWidth="1"/>
  </cols>
  <sheetData>
    <row r="1" spans="1:8 16365:16366" ht="75.75" customHeight="1" x14ac:dyDescent="0.2">
      <c r="A1" s="68"/>
      <c r="B1" s="68"/>
      <c r="C1" s="68"/>
      <c r="D1" s="68"/>
      <c r="E1" s="68"/>
      <c r="F1" s="68"/>
      <c r="G1" s="68"/>
      <c r="H1" s="68"/>
    </row>
    <row r="2" spans="1:8 16365:16366" ht="70.5" customHeight="1" x14ac:dyDescent="0.2">
      <c r="A2" s="65" t="s">
        <v>0</v>
      </c>
      <c r="B2" s="65"/>
      <c r="C2" s="66" t="s">
        <v>1</v>
      </c>
      <c r="D2" s="66"/>
      <c r="E2" s="66"/>
      <c r="F2" s="22"/>
      <c r="G2" s="22"/>
      <c r="H2" s="22"/>
    </row>
    <row r="3" spans="1:8 16365:16366" ht="34.5" customHeight="1" x14ac:dyDescent="0.2">
      <c r="A3" s="65" t="s">
        <v>370</v>
      </c>
      <c r="B3" s="65"/>
      <c r="C3" s="66" t="s">
        <v>3</v>
      </c>
      <c r="D3" s="66"/>
      <c r="E3" s="66"/>
      <c r="F3" s="22"/>
      <c r="G3" s="22"/>
      <c r="H3" s="22"/>
    </row>
    <row r="4" spans="1:8 16365:16366" ht="22.5" customHeight="1" x14ac:dyDescent="0.2">
      <c r="A4" s="65" t="s">
        <v>4</v>
      </c>
      <c r="B4" s="65"/>
      <c r="C4" s="66" t="s">
        <v>5</v>
      </c>
      <c r="D4" s="66"/>
      <c r="E4" s="66"/>
      <c r="F4" s="22"/>
      <c r="G4" s="22"/>
      <c r="H4" s="22"/>
    </row>
    <row r="5" spans="1:8 16365:16366" ht="24" customHeight="1" x14ac:dyDescent="0.2">
      <c r="A5" s="65" t="s">
        <v>6</v>
      </c>
      <c r="B5" s="65"/>
      <c r="C5" s="66" t="s">
        <v>7</v>
      </c>
      <c r="D5" s="66"/>
      <c r="E5" s="66"/>
      <c r="F5" s="22"/>
      <c r="G5" s="22"/>
      <c r="H5" s="22"/>
    </row>
    <row r="6" spans="1:8 16365:16366" ht="22.5" customHeight="1" x14ac:dyDescent="0.2">
      <c r="A6" s="65" t="s">
        <v>8</v>
      </c>
      <c r="B6" s="65"/>
      <c r="C6" s="66" t="s">
        <v>9</v>
      </c>
      <c r="D6" s="66"/>
      <c r="E6" s="66"/>
      <c r="F6" s="22"/>
      <c r="G6" s="22"/>
      <c r="H6" s="22"/>
    </row>
    <row r="7" spans="1:8 16365:16366" ht="19.5" customHeight="1" x14ac:dyDescent="0.2">
      <c r="A7" s="65" t="s">
        <v>10</v>
      </c>
      <c r="B7" s="65"/>
      <c r="C7" s="66" t="s">
        <v>11</v>
      </c>
      <c r="D7" s="66"/>
      <c r="E7" s="66"/>
      <c r="F7" s="22"/>
      <c r="G7" s="22"/>
      <c r="H7" s="22"/>
    </row>
    <row r="8" spans="1:8 16365:16366" ht="16.5" customHeight="1" x14ac:dyDescent="0.2">
      <c r="A8" s="65" t="s">
        <v>12</v>
      </c>
      <c r="B8" s="65"/>
      <c r="C8" s="66" t="s">
        <v>13</v>
      </c>
      <c r="D8" s="66"/>
      <c r="E8" s="66"/>
      <c r="F8" s="22"/>
      <c r="G8" s="22"/>
      <c r="H8" s="22"/>
    </row>
    <row r="9" spans="1:8 16365:16366" ht="61.5" customHeight="1" x14ac:dyDescent="0.2">
      <c r="A9" s="65" t="s">
        <v>14</v>
      </c>
      <c r="B9" s="65"/>
      <c r="C9" s="67" t="s">
        <v>15</v>
      </c>
      <c r="D9" s="67"/>
      <c r="E9" s="67"/>
      <c r="F9" s="22"/>
      <c r="G9" s="22"/>
      <c r="H9" s="22"/>
    </row>
    <row r="10" spans="1:8 16365:16366" ht="18.75" customHeight="1" x14ac:dyDescent="0.25">
      <c r="A10" s="60"/>
      <c r="B10" s="60"/>
      <c r="C10" s="60"/>
      <c r="D10" s="60"/>
      <c r="E10" s="60"/>
      <c r="F10" s="60"/>
      <c r="G10" s="60"/>
      <c r="H10" s="60"/>
    </row>
    <row r="11" spans="1:8 16365:16366" ht="18" customHeight="1" x14ac:dyDescent="0.25">
      <c r="A11" s="61" t="s">
        <v>17</v>
      </c>
      <c r="B11" s="61"/>
      <c r="C11" s="61"/>
      <c r="D11" s="61"/>
      <c r="E11" s="62" t="s">
        <v>18</v>
      </c>
      <c r="F11" s="62"/>
      <c r="G11" s="62"/>
      <c r="H11" s="62"/>
    </row>
    <row r="12" spans="1:8 16365:16366" s="4" customFormat="1" ht="61.5" customHeight="1" x14ac:dyDescent="0.25">
      <c r="A12" s="23" t="s">
        <v>20</v>
      </c>
      <c r="B12" s="23" t="s">
        <v>21</v>
      </c>
      <c r="C12" s="23" t="s">
        <v>22</v>
      </c>
      <c r="D12" s="23" t="s">
        <v>23</v>
      </c>
      <c r="E12" s="24" t="s">
        <v>24</v>
      </c>
      <c r="F12" s="24" t="s">
        <v>21</v>
      </c>
      <c r="G12" s="24" t="s">
        <v>25</v>
      </c>
      <c r="H12" s="24" t="s">
        <v>23</v>
      </c>
      <c r="XEK12" s="3"/>
      <c r="XEL12" s="1"/>
    </row>
    <row r="13" spans="1:8 16365:16366" ht="63.75" customHeight="1" x14ac:dyDescent="0.2">
      <c r="A13" s="64" t="s">
        <v>33</v>
      </c>
      <c r="B13" s="49" t="s">
        <v>289</v>
      </c>
      <c r="C13" s="49" t="s">
        <v>290</v>
      </c>
      <c r="D13" s="49" t="s">
        <v>291</v>
      </c>
      <c r="E13" s="32" t="s">
        <v>34</v>
      </c>
      <c r="F13" s="33" t="s">
        <v>292</v>
      </c>
      <c r="G13" s="33" t="s">
        <v>293</v>
      </c>
      <c r="H13" s="33" t="s">
        <v>294</v>
      </c>
    </row>
    <row r="14" spans="1:8 16365:16366" ht="66" customHeight="1" x14ac:dyDescent="0.2">
      <c r="A14" s="64"/>
      <c r="B14" s="49"/>
      <c r="C14" s="49"/>
      <c r="D14" s="49"/>
      <c r="E14" s="32" t="s">
        <v>42</v>
      </c>
      <c r="F14" s="44" t="s">
        <v>289</v>
      </c>
      <c r="G14" s="44" t="s">
        <v>295</v>
      </c>
      <c r="H14" s="44" t="s">
        <v>296</v>
      </c>
    </row>
    <row r="15" spans="1:8 16365:16366" ht="59.25" customHeight="1" x14ac:dyDescent="0.2">
      <c r="A15" s="64"/>
      <c r="B15" s="49"/>
      <c r="C15" s="49"/>
      <c r="D15" s="49"/>
      <c r="E15" s="32" t="s">
        <v>46</v>
      </c>
      <c r="F15" s="33" t="s">
        <v>292</v>
      </c>
      <c r="G15" s="33" t="s">
        <v>297</v>
      </c>
      <c r="H15" s="33" t="s">
        <v>298</v>
      </c>
    </row>
    <row r="16" spans="1:8 16365:16366" ht="68.25" customHeight="1" x14ac:dyDescent="0.2">
      <c r="A16" s="59" t="s">
        <v>51</v>
      </c>
      <c r="B16" s="49" t="s">
        <v>299</v>
      </c>
      <c r="C16" s="49" t="s">
        <v>300</v>
      </c>
      <c r="D16" s="51" t="s">
        <v>301</v>
      </c>
      <c r="E16" s="32" t="s">
        <v>52</v>
      </c>
      <c r="F16" s="33" t="s">
        <v>302</v>
      </c>
      <c r="G16" s="33" t="s">
        <v>303</v>
      </c>
      <c r="H16" s="33" t="s">
        <v>304</v>
      </c>
    </row>
    <row r="17" spans="1:8 16365:16366" ht="58.5" customHeight="1" x14ac:dyDescent="0.2">
      <c r="A17" s="59"/>
      <c r="B17" s="49"/>
      <c r="C17" s="49"/>
      <c r="D17" s="51"/>
      <c r="E17" s="32" t="s">
        <v>58</v>
      </c>
      <c r="F17" s="33" t="s">
        <v>302</v>
      </c>
      <c r="G17" s="33" t="s">
        <v>305</v>
      </c>
      <c r="H17" s="33" t="s">
        <v>306</v>
      </c>
    </row>
    <row r="18" spans="1:8 16365:16366" ht="69.75" customHeight="1" x14ac:dyDescent="0.2">
      <c r="A18" s="59"/>
      <c r="B18" s="49"/>
      <c r="C18" s="49"/>
      <c r="D18" s="51"/>
      <c r="E18" s="32" t="s">
        <v>62</v>
      </c>
      <c r="F18" s="33" t="s">
        <v>302</v>
      </c>
      <c r="G18" s="33" t="s">
        <v>307</v>
      </c>
      <c r="H18" s="33" t="s">
        <v>308</v>
      </c>
    </row>
    <row r="19" spans="1:8 16365:16366" ht="99.95" customHeight="1" x14ac:dyDescent="0.2">
      <c r="A19" s="59"/>
      <c r="B19" s="49"/>
      <c r="C19" s="49"/>
      <c r="D19" s="51"/>
      <c r="E19" s="32" t="s">
        <v>66</v>
      </c>
      <c r="F19" s="33" t="s">
        <v>309</v>
      </c>
      <c r="G19" s="33" t="s">
        <v>310</v>
      </c>
      <c r="H19" s="33" t="s">
        <v>311</v>
      </c>
    </row>
    <row r="20" spans="1:8 16365:16366" ht="51.75" customHeight="1" x14ac:dyDescent="0.2">
      <c r="A20" s="58" t="s">
        <v>70</v>
      </c>
      <c r="B20" s="51" t="s">
        <v>302</v>
      </c>
      <c r="C20" s="51" t="s">
        <v>312</v>
      </c>
      <c r="D20" s="51" t="s">
        <v>313</v>
      </c>
      <c r="E20" s="32" t="s">
        <v>71</v>
      </c>
      <c r="F20" s="33" t="s">
        <v>314</v>
      </c>
      <c r="G20" s="33" t="s">
        <v>315</v>
      </c>
      <c r="H20" s="33" t="s">
        <v>316</v>
      </c>
    </row>
    <row r="21" spans="1:8 16365:16366" ht="49.5" customHeight="1" x14ac:dyDescent="0.2">
      <c r="A21" s="58"/>
      <c r="B21" s="51"/>
      <c r="C21" s="51"/>
      <c r="D21" s="51"/>
      <c r="E21" s="32" t="s">
        <v>75</v>
      </c>
      <c r="F21" s="33" t="s">
        <v>302</v>
      </c>
      <c r="G21" s="33" t="s">
        <v>317</v>
      </c>
      <c r="H21" s="33" t="s">
        <v>318</v>
      </c>
    </row>
    <row r="22" spans="1:8 16365:16366" ht="90.75" x14ac:dyDescent="0.2">
      <c r="A22" s="58"/>
      <c r="B22" s="51"/>
      <c r="C22" s="51"/>
      <c r="D22" s="51"/>
      <c r="E22" s="34" t="s">
        <v>79</v>
      </c>
      <c r="F22" s="46" t="s">
        <v>309</v>
      </c>
      <c r="G22" s="46" t="s">
        <v>319</v>
      </c>
      <c r="H22" s="46" t="s">
        <v>320</v>
      </c>
    </row>
    <row r="23" spans="1:8 16365:16366" ht="67.5" customHeight="1" x14ac:dyDescent="0.2">
      <c r="A23" s="58"/>
      <c r="B23" s="51"/>
      <c r="C23" s="51"/>
      <c r="D23" s="51"/>
      <c r="E23" s="32" t="s">
        <v>86</v>
      </c>
      <c r="F23" s="33" t="s">
        <v>321</v>
      </c>
      <c r="G23" s="33" t="s">
        <v>322</v>
      </c>
      <c r="H23" s="33" t="s">
        <v>323</v>
      </c>
    </row>
    <row r="24" spans="1:8 16365:16366" ht="63" customHeight="1" x14ac:dyDescent="0.2">
      <c r="A24" s="57" t="s">
        <v>93</v>
      </c>
      <c r="B24" s="51" t="s">
        <v>324</v>
      </c>
      <c r="C24" s="51" t="s">
        <v>325</v>
      </c>
      <c r="D24" s="51" t="s">
        <v>326</v>
      </c>
      <c r="E24" s="32" t="s">
        <v>94</v>
      </c>
      <c r="F24" s="33" t="s">
        <v>327</v>
      </c>
      <c r="G24" s="33" t="s">
        <v>328</v>
      </c>
      <c r="H24" s="33" t="s">
        <v>329</v>
      </c>
    </row>
    <row r="25" spans="1:8 16365:16366" ht="81" customHeight="1" x14ac:dyDescent="0.2">
      <c r="A25" s="57"/>
      <c r="B25" s="51"/>
      <c r="C25" s="51"/>
      <c r="D25" s="51"/>
      <c r="E25" s="32" t="s">
        <v>99</v>
      </c>
      <c r="F25" s="33" t="s">
        <v>330</v>
      </c>
      <c r="G25" s="33" t="s">
        <v>331</v>
      </c>
      <c r="H25" s="33" t="s">
        <v>332</v>
      </c>
    </row>
    <row r="26" spans="1:8 16365:16366" ht="70.5" customHeight="1" x14ac:dyDescent="0.2">
      <c r="A26" s="56" t="s">
        <v>104</v>
      </c>
      <c r="B26" s="51" t="s">
        <v>333</v>
      </c>
      <c r="C26" s="51" t="s">
        <v>334</v>
      </c>
      <c r="D26" s="51" t="s">
        <v>335</v>
      </c>
      <c r="E26" s="32" t="s">
        <v>105</v>
      </c>
      <c r="F26" s="33" t="s">
        <v>336</v>
      </c>
      <c r="G26" s="33" t="s">
        <v>337</v>
      </c>
      <c r="H26" s="33" t="s">
        <v>338</v>
      </c>
    </row>
    <row r="27" spans="1:8 16365:16366" ht="81.75" customHeight="1" x14ac:dyDescent="0.2">
      <c r="A27" s="56"/>
      <c r="B27" s="51"/>
      <c r="C27" s="51"/>
      <c r="D27" s="51"/>
      <c r="E27" s="32" t="s">
        <v>110</v>
      </c>
      <c r="F27" s="33" t="s">
        <v>336</v>
      </c>
      <c r="G27" s="33" t="s">
        <v>339</v>
      </c>
      <c r="H27" s="33" t="s">
        <v>340</v>
      </c>
    </row>
    <row r="28" spans="1:8 16365:16366" ht="61.5" customHeight="1" x14ac:dyDescent="0.2">
      <c r="A28" s="81" t="s">
        <v>114</v>
      </c>
      <c r="B28" s="83" t="s">
        <v>341</v>
      </c>
      <c r="C28" s="51" t="s">
        <v>342</v>
      </c>
      <c r="D28" s="51" t="s">
        <v>343</v>
      </c>
      <c r="E28" s="32" t="s">
        <v>115</v>
      </c>
      <c r="F28" s="33" t="s">
        <v>344</v>
      </c>
      <c r="G28" s="33" t="s">
        <v>345</v>
      </c>
      <c r="H28" s="33" t="s">
        <v>346</v>
      </c>
    </row>
    <row r="29" spans="1:8 16365:16366" ht="67.5" customHeight="1" x14ac:dyDescent="0.2">
      <c r="A29" s="82"/>
      <c r="B29" s="84"/>
      <c r="C29" s="51"/>
      <c r="D29" s="51"/>
      <c r="E29" s="32" t="s">
        <v>120</v>
      </c>
      <c r="F29" s="33" t="s">
        <v>347</v>
      </c>
      <c r="G29" s="33" t="s">
        <v>348</v>
      </c>
      <c r="H29" s="33" t="s">
        <v>349</v>
      </c>
    </row>
    <row r="30" spans="1:8 16365:16366" s="5" customFormat="1" ht="76.5" customHeight="1" x14ac:dyDescent="0.2">
      <c r="A30" s="82"/>
      <c r="B30" s="84"/>
      <c r="C30" s="51"/>
      <c r="D30" s="51"/>
      <c r="E30" s="32" t="s">
        <v>127</v>
      </c>
      <c r="F30" s="44" t="s">
        <v>350</v>
      </c>
      <c r="G30" s="27" t="s">
        <v>128</v>
      </c>
      <c r="H30" s="27" t="s">
        <v>129</v>
      </c>
      <c r="XEK30" s="3"/>
      <c r="XEL30" s="1"/>
    </row>
    <row r="31" spans="1:8 16365:16366" ht="51" customHeight="1" x14ac:dyDescent="0.2">
      <c r="A31" s="82"/>
      <c r="B31" s="84"/>
      <c r="C31" s="51"/>
      <c r="D31" s="51"/>
      <c r="E31" s="32" t="s">
        <v>136</v>
      </c>
      <c r="F31" s="44" t="s">
        <v>350</v>
      </c>
      <c r="G31" s="27" t="s">
        <v>137</v>
      </c>
      <c r="H31" s="27" t="s">
        <v>138</v>
      </c>
    </row>
    <row r="32" spans="1:8 16365:16366" ht="82.5" customHeight="1" x14ac:dyDescent="0.2">
      <c r="A32" s="82"/>
      <c r="B32" s="84"/>
      <c r="C32" s="51"/>
      <c r="D32" s="51"/>
      <c r="E32" s="34" t="s">
        <v>131</v>
      </c>
      <c r="F32" s="45" t="s">
        <v>386</v>
      </c>
      <c r="G32" s="45" t="s">
        <v>387</v>
      </c>
      <c r="H32" s="45" t="s">
        <v>375</v>
      </c>
    </row>
    <row r="33" spans="1:8 16365:16366" ht="81" customHeight="1" x14ac:dyDescent="0.2">
      <c r="A33" s="82"/>
      <c r="B33" s="84"/>
      <c r="C33" s="51"/>
      <c r="D33" s="51"/>
      <c r="E33" s="34" t="s">
        <v>144</v>
      </c>
      <c r="F33" s="45" t="s">
        <v>373</v>
      </c>
      <c r="G33" s="45" t="s">
        <v>374</v>
      </c>
      <c r="H33" s="45" t="s">
        <v>146</v>
      </c>
    </row>
    <row r="34" spans="1:8 16365:16366" ht="75" customHeight="1" x14ac:dyDescent="0.2">
      <c r="A34" s="82"/>
      <c r="B34" s="84"/>
      <c r="C34" s="51"/>
      <c r="D34" s="51"/>
      <c r="E34" s="32" t="s">
        <v>148</v>
      </c>
      <c r="F34" s="45" t="s">
        <v>145</v>
      </c>
      <c r="G34" s="45" t="s">
        <v>149</v>
      </c>
      <c r="H34" s="45" t="s">
        <v>150</v>
      </c>
    </row>
    <row r="35" spans="1:8 16365:16366" ht="62.25" customHeight="1" x14ac:dyDescent="0.2">
      <c r="A35" s="53" t="s">
        <v>156</v>
      </c>
      <c r="B35" s="49" t="s">
        <v>351</v>
      </c>
      <c r="C35" s="49" t="s">
        <v>352</v>
      </c>
      <c r="D35" s="49" t="s">
        <v>353</v>
      </c>
      <c r="E35" s="32" t="s">
        <v>157</v>
      </c>
      <c r="F35" s="33" t="s">
        <v>354</v>
      </c>
      <c r="G35" s="33" t="s">
        <v>355</v>
      </c>
      <c r="H35" s="33" t="s">
        <v>356</v>
      </c>
    </row>
    <row r="36" spans="1:8 16365:16366" ht="99" customHeight="1" x14ac:dyDescent="0.2">
      <c r="A36" s="53"/>
      <c r="B36" s="49"/>
      <c r="C36" s="49"/>
      <c r="D36" s="49"/>
      <c r="E36" s="32" t="s">
        <v>165</v>
      </c>
      <c r="F36" s="44" t="s">
        <v>357</v>
      </c>
      <c r="G36" s="27" t="s">
        <v>166</v>
      </c>
      <c r="H36" s="27" t="s">
        <v>167</v>
      </c>
    </row>
    <row r="37" spans="1:8 16365:16366" ht="84" customHeight="1" x14ac:dyDescent="0.2">
      <c r="A37" s="53"/>
      <c r="B37" s="49"/>
      <c r="C37" s="49"/>
      <c r="D37" s="49"/>
      <c r="E37" s="32" t="s">
        <v>174</v>
      </c>
      <c r="F37" s="33" t="s">
        <v>354</v>
      </c>
      <c r="G37" s="33" t="s">
        <v>358</v>
      </c>
      <c r="H37" s="33" t="s">
        <v>359</v>
      </c>
    </row>
    <row r="38" spans="1:8 16365:16366" ht="68.25" customHeight="1" x14ac:dyDescent="0.2">
      <c r="A38" s="53"/>
      <c r="B38" s="49"/>
      <c r="C38" s="49"/>
      <c r="D38" s="49"/>
      <c r="E38" s="32" t="s">
        <v>181</v>
      </c>
      <c r="F38" s="33" t="s">
        <v>347</v>
      </c>
      <c r="G38" s="33" t="s">
        <v>360</v>
      </c>
      <c r="H38" s="33" t="s">
        <v>361</v>
      </c>
    </row>
    <row r="39" spans="1:8 16365:16366" s="6" customFormat="1" ht="68.25" customHeight="1" x14ac:dyDescent="0.2">
      <c r="A39" s="48" t="s">
        <v>186</v>
      </c>
      <c r="B39" s="49" t="s">
        <v>362</v>
      </c>
      <c r="C39" s="49" t="s">
        <v>363</v>
      </c>
      <c r="D39" s="49" t="s">
        <v>364</v>
      </c>
      <c r="E39" s="32" t="s">
        <v>187</v>
      </c>
      <c r="F39" s="33" t="s">
        <v>302</v>
      </c>
      <c r="G39" s="33" t="s">
        <v>365</v>
      </c>
      <c r="H39" s="33" t="s">
        <v>366</v>
      </c>
      <c r="XEK39" s="3"/>
      <c r="XEL39" s="1"/>
    </row>
    <row r="40" spans="1:8 16365:16366" s="7" customFormat="1" ht="108" customHeight="1" x14ac:dyDescent="0.2">
      <c r="A40" s="48"/>
      <c r="B40" s="49"/>
      <c r="C40" s="49"/>
      <c r="D40" s="49"/>
      <c r="E40" s="32" t="s">
        <v>194</v>
      </c>
      <c r="F40" s="44" t="s">
        <v>367</v>
      </c>
      <c r="G40" s="44" t="s">
        <v>368</v>
      </c>
      <c r="H40" s="44" t="s">
        <v>369</v>
      </c>
      <c r="XEK40" s="3"/>
      <c r="XEL40" s="1"/>
    </row>
    <row r="1048471" ht="12.75" customHeight="1" x14ac:dyDescent="0.2"/>
    <row r="1048472" ht="12.75" customHeight="1" x14ac:dyDescent="0.2"/>
    <row r="1048473" ht="12.75" customHeight="1" x14ac:dyDescent="0.2"/>
    <row r="1048474" ht="12.75" customHeight="1" x14ac:dyDescent="0.2"/>
    <row r="1048475" ht="12.75" customHeight="1" x14ac:dyDescent="0.2"/>
    <row r="1048476" ht="12.75" customHeight="1" x14ac:dyDescent="0.2"/>
    <row r="1048477" ht="12.75" customHeight="1" x14ac:dyDescent="0.2"/>
  </sheetData>
  <autoFilter ref="A12:H40" xr:uid="{00000000-0009-0000-0000-000000000000}"/>
  <mergeCells count="52">
    <mergeCell ref="A4:B4"/>
    <mergeCell ref="C4:E4"/>
    <mergeCell ref="A1:H1"/>
    <mergeCell ref="A2:B2"/>
    <mergeCell ref="C2:E2"/>
    <mergeCell ref="A3:B3"/>
    <mergeCell ref="C3:E3"/>
    <mergeCell ref="A11:D11"/>
    <mergeCell ref="E11:H11"/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A10:H10"/>
    <mergeCell ref="A16:A19"/>
    <mergeCell ref="B16:B19"/>
    <mergeCell ref="C16:C19"/>
    <mergeCell ref="D16:D19"/>
    <mergeCell ref="A13:A15"/>
    <mergeCell ref="B13:B15"/>
    <mergeCell ref="C13:C15"/>
    <mergeCell ref="D13:D15"/>
    <mergeCell ref="A24:A25"/>
    <mergeCell ref="B24:B25"/>
    <mergeCell ref="C24:C25"/>
    <mergeCell ref="D24:D25"/>
    <mergeCell ref="A20:A23"/>
    <mergeCell ref="B20:B23"/>
    <mergeCell ref="C20:C23"/>
    <mergeCell ref="D20:D23"/>
    <mergeCell ref="A28:A34"/>
    <mergeCell ref="B28:B34"/>
    <mergeCell ref="C28:C34"/>
    <mergeCell ref="D28:D34"/>
    <mergeCell ref="A26:A27"/>
    <mergeCell ref="B26:B27"/>
    <mergeCell ref="C26:C27"/>
    <mergeCell ref="D26:D27"/>
    <mergeCell ref="A39:A40"/>
    <mergeCell ref="B39:B40"/>
    <mergeCell ref="C39:C40"/>
    <mergeCell ref="D39:D40"/>
    <mergeCell ref="A35:A38"/>
    <mergeCell ref="B35:B38"/>
    <mergeCell ref="C35:C38"/>
    <mergeCell ref="D35:D38"/>
  </mergeCells>
  <pageMargins left="0.27559055118110237" right="0.19685039370078741" top="0.47244094488188981" bottom="0.31496062992125984" header="0.43307086614173229" footer="0.51181102362204722"/>
  <pageSetup paperSize="5" scale="90" orientation="landscape" r:id="rId1"/>
  <rowBreaks count="4" manualBreakCount="4">
    <brk id="15" max="7" man="1"/>
    <brk id="23" max="7" man="1"/>
    <brk id="27" max="7" man="1"/>
    <brk id="34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1777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6</vt:i4>
      </vt:variant>
    </vt:vector>
  </HeadingPairs>
  <TitlesOfParts>
    <vt:vector size="10" baseType="lpstr">
      <vt:lpstr>BACKLOG</vt:lpstr>
      <vt:lpstr>DISTRIBUCION</vt:lpstr>
      <vt:lpstr>RESUMEN DE ESTIMACIONES</vt:lpstr>
      <vt:lpstr>BACKLOG SCA</vt:lpstr>
      <vt:lpstr>BACKLOG!Área_de_impresión</vt:lpstr>
      <vt:lpstr>'BACKLOG SCA'!Área_de_impresión</vt:lpstr>
      <vt:lpstr>DISTRIBUCION!Área_de_impresión</vt:lpstr>
      <vt:lpstr>BACKLOG!Títulos_a_imprimir</vt:lpstr>
      <vt:lpstr>'BACKLOG SCA'!Títulos_a_imprimir</vt:lpstr>
      <vt:lpstr>DISTRIBUCION!Títulos_a_imprimir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QuerySoft</dc:creator>
  <dc:description/>
  <cp:lastModifiedBy>natty dugarte</cp:lastModifiedBy>
  <cp:revision>118</cp:revision>
  <cp:lastPrinted>2026-08-30T05:58:47Z</cp:lastPrinted>
  <dcterms:created xsi:type="dcterms:W3CDTF">2024-11-28T19:06:38Z</dcterms:created>
  <dcterms:modified xsi:type="dcterms:W3CDTF">2026-08-30T05:59:09Z</dcterms:modified>
  <dc:language>es-VE</dc:language>
</cp:coreProperties>
</file>