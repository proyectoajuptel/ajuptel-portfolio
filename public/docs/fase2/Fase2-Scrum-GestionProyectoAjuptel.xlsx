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olors3.xml" ContentType="application/vnd.ms-office.chartcolorstyle+xml"/>
  <Override PartName="/xl/charts/style2.xml" ContentType="application/vnd.ms-office.chartstyle+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3.xml" ContentType="application/vnd.ms-office.chartstyle+xml"/>
  <Override PartName="/xl/charts/chart4.xml" ContentType="application/vnd.openxmlformats-officedocument.drawingml.chart+xml"/>
  <Override PartName="/xl/charts/colors5.xml" ContentType="application/vnd.ms-office.chartcolorstyle+xml"/>
  <Override PartName="/xl/charts/style4.xml" ContentType="application/vnd.ms-office.chartstyle+xml"/>
  <Override PartName="/xl/charts/style5.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colors7.xml" ContentType="application/vnd.ms-office.chartcolorstyle+xml"/>
  <Override PartName="/xl/charts/style6.xml" ContentType="application/vnd.ms-office.chartstyle+xml"/>
  <Override PartName="/xl/charts/style7.xml" ContentType="application/vnd.ms-office.chartstyle+xml"/>
  <Override PartName="/xl/charts/colors6.xml" ContentType="application/vnd.ms-office.chartcolorstyle+xml"/>
  <Override PartName="/xl/charts/chart7.xml" ContentType="application/vnd.openxmlformats-officedocument.drawingml.char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5.xml" ContentType="application/vnd.openxmlformats-officedocument.spreadsheetml.comments+xml"/>
  <Override PartName="/xl/drawings/drawing8.xml" ContentType="application/vnd.openxmlformats-officedocument.drawing+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9.xml" ContentType="application/vnd.openxmlformats-officedocument.drawing+xml"/>
  <Override PartName="/xl/drawings/vmlDrawing2.vml" ContentType="application/vnd.openxmlformats-officedocument.vmlDrawing"/>
  <Override PartName="/xl/comments16.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Introducción" sheetId="1" state="visible" r:id="rId3"/>
    <sheet name="Caso del Negocio " sheetId="2" state="visible" r:id="rId4"/>
    <sheet name="Visión" sheetId="3" state="visible" r:id="rId5"/>
    <sheet name="Involucrados del proyecto" sheetId="4" state="visible" r:id="rId6"/>
    <sheet name="PBI" sheetId="5" state="visible" r:id="rId7"/>
    <sheet name="Release Plan" sheetId="6" state="visible" r:id="rId8"/>
    <sheet name="Puntos" sheetId="7" state="visible" r:id="rId9"/>
    <sheet name="Tareas" sheetId="8" state="visible" r:id="rId10"/>
    <sheet name="Burn Down Chart Sprint 1" sheetId="9" state="visible" r:id="rId11"/>
    <sheet name="Burn Down Chart Sprint2" sheetId="10" state="visible" r:id="rId12"/>
    <sheet name="Burn Down Chart Sprint3" sheetId="11" state="visible" r:id="rId13"/>
    <sheet name="Burn Down Chart Sprint4" sheetId="12" state="visible" r:id="rId14"/>
    <sheet name="Burn Down Chart Sprint5" sheetId="13" state="visible" r:id="rId15"/>
    <sheet name="Burn Down Chart Sprint6" sheetId="14" state="visible" r:id="rId16"/>
    <sheet name="Burn Down Chart Sprint7" sheetId="15" state="visible" r:id="rId17"/>
    <sheet name="Gestión de impedimentos" sheetId="16" state="visible" r:id="rId18"/>
  </sheets>
  <definedNames>
    <definedName function="false" hidden="false" localSheetId="8" name="_xlnm.Print_Area" vbProcedure="false">'Burn Down Chart Sprint 1'!$A$1:$N$22</definedName>
    <definedName function="false" hidden="false" localSheetId="10" name="_xlnm.Print_Area" vbProcedure="false">'Burn Down Chart Sprint3'!$A$1:$N$22</definedName>
    <definedName function="false" hidden="false" localSheetId="1" name="_xlnm.Print_Area" vbProcedure="false">'Caso del Negocio '!$B$1:$H$6</definedName>
    <definedName function="false" hidden="false" localSheetId="15" name="_xlnm.Print_Titles" vbProcedure="false">'Gestión de impedimentos'!$1:$2</definedName>
    <definedName function="false" hidden="false" localSheetId="3" name="_xlnm.Print_Titles" vbProcedure="false">'Involucrados del proyecto'!$1:$2</definedName>
    <definedName function="false" hidden="false" localSheetId="4" name="_xlnm.Print_Titles" vbProcedure="false">PBI!$2:$3</definedName>
    <definedName function="false" hidden="true" localSheetId="4" name="_xlnm._FilterDatabase" vbProcedure="false">PBI!$A$3:$K$40</definedName>
    <definedName function="false" hidden="false" localSheetId="5" name="_xlnm.Print_Area" vbProcedure="false">'Release Plan'!$A$1:$T$32</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Ing Diego Ochoa</author>
  </authors>
  <commentList>
    <comment ref="B3" authorId="0">
      <text>
        <r>
          <rPr>
            <sz val="10"/>
            <rFont val="Arial"/>
            <family val="2"/>
          </rPr>
          <t xml:space="preserve">KzI:
</t>
        </r>
        <r>
          <rPr>
            <sz val="9"/>
            <color rgb="FF000000"/>
            <rFont val="Tahoma"/>
            <family val="2"/>
            <charset val="1"/>
          </rPr>
          <t xml:space="preserve">US = User Story
EP = Epica</t>
        </r>
      </text>
      <mc:AlternateContent>
        <mc:Choice Requires="v2">
          <commentPr autoFill="true" autoScale="false" colHidden="false" locked="false" rowHidden="false" textHAlign="justify" textVAlign="top">
            <anchor moveWithCells="false" sizeWithCells="false">
              <xdr:from>
                <xdr:col>3</xdr:col>
                <xdr:colOff>1</xdr:colOff>
                <xdr:row>1</xdr:row>
                <xdr:rowOff>1</xdr:rowOff>
              </xdr:from>
              <xdr:to>
                <xdr:col>4</xdr:col>
                <xdr:colOff>-5</xdr:colOff>
                <xdr:row>2</xdr:row>
                <xdr:rowOff>20</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Diego Ochoa</author>
    <author>tc={7AD4058E-1BEC-43D3-ABE3-53AE79696D00}</author>
  </authors>
  <commentList>
    <comment ref="D2" authorId="1">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Impedimiento o Riesgo</t>
        </r>
      </text>
      <mc:AlternateContent>
        <mc:Choice Requires="v2">
          <commentPr autoFill="true" autoScale="false" colHidden="false" locked="false" rowHidden="false" textHAlign="justify" textVAlign="top">
            <anchor moveWithCells="false" sizeWithCells="false">
              <xdr:from>
                <xdr:col>4</xdr:col>
                <xdr:colOff>35</xdr:colOff>
                <xdr:row>0</xdr:row>
                <xdr:rowOff>3</xdr:rowOff>
              </xdr:from>
              <xdr:to>
                <xdr:col>5</xdr:col>
                <xdr:colOff>53</xdr:colOff>
                <xdr:row>3</xdr:row>
                <xdr:rowOff>9</xdr:rowOff>
              </xdr:to>
            </anchor>
          </commentPr>
        </mc:Choice>
        <mc:Fallback/>
      </mc:AlternateContent>
    </comment>
    <comment ref="H2" authorId="0">
      <text>
        <r>
          <rPr>
            <sz val="10"/>
            <rFont val="Arial"/>
            <family val="2"/>
          </rPr>
          <t xml:space="preserve">Diego Ochoa:
1) En analisis
2) En proceso de atención
3) Detenido
4) Atendido
5) Cerrado
6) Descartado</t>
        </r>
      </text>
      <mc:AlternateContent>
        <mc:Choice Requires="v2">
          <commentPr autoFill="true" autoScale="false" colHidden="false" locked="false" rowHidden="false" textHAlign="justify" textVAlign="top">
            <anchor moveWithCells="false" sizeWithCells="false">
              <xdr:from>
                <xdr:col>5</xdr:col>
                <xdr:colOff>50</xdr:colOff>
                <xdr:row>0</xdr:row>
                <xdr:rowOff>3</xdr:rowOff>
              </xdr:from>
              <xdr:to>
                <xdr:col>8</xdr:col>
                <xdr:colOff>17</xdr:colOff>
                <xdr:row>2</xdr:row>
                <xdr:rowOff>21</xdr:rowOff>
              </xdr:to>
            </anchor>
          </commentPr>
        </mc:Choice>
        <mc:Fallback/>
      </mc:AlternateContent>
    </comment>
  </commentList>
</comments>
</file>

<file path=xl/sharedStrings.xml><?xml version="1.0" encoding="utf-8"?>
<sst xmlns="http://schemas.openxmlformats.org/spreadsheetml/2006/main" count="1226" uniqueCount="619">
  <si>
    <t xml:space="preserve">República Bolivariana de Venezuela
Ministerio del Poder Popular para la Educación Universitaria
 Universidad Nacional Experimental de las Telecomunicaciones e Informática (UNETI) 
Trayecto IV: PNF en Informática</t>
  </si>
  <si>
    <t xml:space="preserve">Autores:</t>
  </si>
  <si>
    <t xml:space="preserve">Profesor: </t>
  </si>
  <si>
    <t xml:space="preserve">Caraballo, Nattier – C.I.: 16.225.080</t>
  </si>
  <si>
    <t xml:space="preserve">Prof. Ing. Luis Rivas Algueida</t>
  </si>
  <si>
    <t xml:space="preserve">Cindia López C.I.: 13.019.951</t>
  </si>
  <si>
    <t xml:space="preserve">Linares, Jorge – C.I.: 4.857.936</t>
  </si>
  <si>
    <t xml:space="preserve">Mujica, Luis – C.I.: 7.090.613 </t>
  </si>
  <si>
    <r>
      <rPr>
        <b val="true"/>
        <sz val="12"/>
        <color rgb="FF000000"/>
        <rFont val="Arial"/>
        <family val="2"/>
        <charset val="1"/>
      </rPr>
      <t xml:space="preserve">Sección:</t>
    </r>
    <r>
      <rPr>
        <sz val="12"/>
        <color rgb="FF000000"/>
        <rFont val="Arial"/>
        <family val="2"/>
        <charset val="1"/>
      </rPr>
      <t xml:space="preserve">  S4y5-2026/1</t>
    </r>
  </si>
  <si>
    <r>
      <rPr>
        <b val="true"/>
        <sz val="12"/>
        <color rgb="FF000000"/>
        <rFont val="Arial"/>
        <family val="2"/>
        <charset val="1"/>
      </rPr>
      <t xml:space="preserve">Unidad curricular:</t>
    </r>
    <r>
      <rPr>
        <sz val="12"/>
        <color rgb="FF000000"/>
        <rFont val="Arial"/>
        <family val="2"/>
        <charset val="1"/>
      </rPr>
      <t xml:space="preserve"> PST IV Módulo 2</t>
    </r>
  </si>
  <si>
    <t xml:space="preserve">INTRODUCCIÓN – GESTIÓN DEL PROYECTO SCRUM (FASE 2)</t>
  </si>
  <si>
    <t xml:space="preserve">La gestión de proyectos bajo el marco de trabajo Scrum requiere de un conjunto de artefactos y herramientas que permitan planificar, ejecutar, monitorear y controlar el desarrollo de software de manera iterativa e incremental. Entre estos artefactos, el Product Backlog, el Release Plan, los Sprint Backlogs y los Burndown Charts constituyen la columna vertebral para la toma de decisiones, la priorización de funcionalidades y el seguimiento del progreso del equipo de desarrollo.
El presente documento, titulado "Fase 2 – Gestión del Proyecto Scrum – Sistema de Información Web Responsivo para la Gestión de Datos de AJUPTEL, Región Carabobo", integra todos los artefactos y registros generados durante la planificación y ejecución del proyecto, desde la definición del caso de negocio y la visión del producto, hasta el seguimiento diario de los sprints y la gestión de impedimentos. Este libro de trabajo (Fase2-Scrum-GestionProyectoAjuptel.xlsx) sirve como el repositorio central de la gestión ágil del proyecto, garantizando la trazabilidad entre los requisitos del negocio, las historias de usuario, las tareas operativas y el avance real del equipo.</t>
  </si>
  <si>
    <t xml:space="preserve">Descripción del Caso del Negocio</t>
  </si>
  <si>
    <r>
      <rPr>
        <sz val="12"/>
        <color rgb="FF000000"/>
        <rFont val="Arial"/>
        <family val="2"/>
        <charset val="1"/>
      </rPr>
      <t xml:space="preserve">La Asociación Civil de Trabajadores de Telecomunicaciones Jubilados y Pensionados de Carabobo (AJUPTEL CARABOBO) opera con procesos administrativos manuales y descentralizados en Microsoft Excel para gestionar a sus más de 700 agremiados. Esta precariedad tecnológica genera ineficiencia operativa, riesgos de pérdida y duplicidad de datos sensibles de adultos mayores, tiempos lentos de atención y limitaciones de crecimiento. 
</t>
    </r>
    <r>
      <rPr>
        <sz val="12"/>
        <color theme="1"/>
        <rFont val="Arial"/>
        <family val="2"/>
        <charset val="1"/>
      </rPr>
      <t xml:space="preserve">
</t>
    </r>
    <r>
      <rPr>
        <sz val="12"/>
        <color rgb="FF000000"/>
        <rFont val="Arial"/>
        <family val="2"/>
        <charset val="1"/>
      </rPr>
      <t xml:space="preserve">Para solucionar esta problemática, la Junta Directiva (presidida por el Sr. Medardo Guerrero) impulsa el desarrollo del </t>
    </r>
    <r>
      <rPr>
        <b val="true"/>
        <sz val="12"/>
        <color rgb="FF000000"/>
        <rFont val="Arial"/>
        <family val="2"/>
        <charset val="1"/>
      </rPr>
      <t xml:space="preserve">"Sistema de Información Web Responsive para la Gestión de Datos de AJUPTEL"</t>
    </r>
    <r>
      <rPr>
        <sz val="12"/>
        <color rgb="FF000000"/>
        <rFont val="Arial"/>
        <family val="2"/>
        <charset val="1"/>
      </rPr>
      <t xml:space="preserve">. Un proyecto socio-tecnológico enfocado en la transformación digital (Web + IA) que busca: 
1. Centralización y Automatización: Unificar la información de asociados, sobrevivientes, familiares y proveedores en una base de datos relacional MySQL con un sistema CRUD intuitivo y gestión de accesos basada en roles (RBAC). 
2. Inclusión Digital y Movilidad: Ofrecer una plataforma web responsive (sin app nativa) que permita a los agremiados consultar datos, recibir notificaciones y escanear documentos desde sus smartphones, apoyados por un asistente virtual con IA. 
3. Optimización Operativa: Facilitar la importación/exportación masiva de datos (Excel/PDF) y la generación de reportes ejecutivos en tiempo real para la toma de decisiones. 
El proyecto contempla una ejecución de 1.400 horas de trabajo distribuidas en un equipo ágil (Product Owner, Scrum Master y 2 Desarrolladores Full-Stack), con un costo total estimado de $29.139,00 USD (incluyendo contingencias del 10% e infraestructura cloud de bajo costo). Se proyecta con un alcance escalable con capacidad de replicarse en las otras 23 sedes de AJUPTEL a nivel nacional. </t>
    </r>
  </si>
  <si>
    <t xml:space="preserve">Visiòn del Proyecto</t>
  </si>
  <si>
    <t xml:space="preserve">PARA</t>
  </si>
  <si>
    <t xml:space="preserve">Asociación Civil de Trabajadores de Telecomunicaciones Jubilados y Pensionados de Carabobo (AJUPTEL CARABOBO), su junta directiva, personal administrativo y más de 700 agremiados.</t>
  </si>
  <si>
    <t xml:space="preserve">OPORTUNIDAD O NECESIDAD</t>
  </si>
  <si>
    <t xml:space="preserve">Centralizar, automatizar y proteger la gestión de datos administrativos de la asociación, eliminando ineficiencias, duplicidad y riesgos de seguridad del uso manual de hojas de Excel.</t>
  </si>
  <si>
    <t xml:space="preserve">EL</t>
  </si>
  <si>
    <t xml:space="preserve">Sistema de Información Web Responsive para la Gestión de Datos de AJUPTEL, Región Carabobo</t>
  </si>
  <si>
    <t xml:space="preserve">BENEFICIOS</t>
  </si>
  <si>
    <t xml:space="preserve">Atención rápida y digna a los asociados, automatización de procesos (CRUD), seguridad por roles (RBAC), inclusión digital sin instalar app nativa y asistencia interactiva con IA.</t>
  </si>
  <si>
    <t xml:space="preserve">A DIFERENCIA</t>
  </si>
  <si>
    <t xml:space="preserve">Procesos manuales tradicionales con hojas de cálculo dispersas en Excel sin control centralizado ni datos en tiempo real.</t>
  </si>
  <si>
    <t xml:space="preserve">NUESTRO PRODUCTO</t>
  </si>
  <si>
    <t xml:space="preserve">Plataforma web responsive con base de datos MySQL, módulos de importación/exportación masiva, escaneo de documentos desde móviles y un agente conversacional basado en IA.</t>
  </si>
  <si>
    <t xml:space="preserve">INVOLUCRADOS DEL PROYECTO</t>
  </si>
  <si>
    <t xml:space="preserve">Involucrado</t>
  </si>
  <si>
    <t xml:space="preserve">Rol</t>
  </si>
  <si>
    <t xml:space="preserve">Tipo</t>
  </si>
  <si>
    <t xml:space="preserve">Descripicion del rol</t>
  </si>
  <si>
    <t xml:space="preserve">Descripción de la persona(s)</t>
  </si>
  <si>
    <t xml:space="preserve">Mail</t>
  </si>
  <si>
    <t xml:space="preserve">Movil</t>
  </si>
  <si>
    <t xml:space="preserve">Linea de mando</t>
  </si>
  <si>
    <t xml:space="preserve">Capacidad tecnica al 100</t>
  </si>
  <si>
    <t xml:space="preserve">SCRUM TEAM</t>
  </si>
  <si>
    <t xml:space="preserve">Nattier Caraballo</t>
  </si>
  <si>
    <t xml:space="preserve">PO</t>
  </si>
  <si>
    <t xml:space="preserve">CORE</t>
  </si>
  <si>
    <t xml:space="preserve">Liderazgo, visión estratégica, gestión eficiente de prioridades del backlog y comunicación efectiva.</t>
  </si>
  <si>
    <t xml:space="preserve">Product Owner del proyecto, evaluada con 100/100 para definir visión de negocio y requerimientos de AJUPTEL.</t>
  </si>
  <si>
    <t xml:space="preserve">nattiercaraballo@gmail.com</t>
  </si>
  <si>
    <t xml:space="preserve">Medardo Guerrero (Patrocinador)</t>
  </si>
  <si>
    <t xml:space="preserve">Cindia López</t>
  </si>
  <si>
    <t xml:space="preserve">SM</t>
  </si>
  <si>
    <t xml:space="preserve">Facilitadora del marco Scrum, organización, seguimiento, resolución de impedimentos y liderazgo servicial.</t>
  </si>
  <si>
    <t xml:space="preserve">Scrum Master del proyecto, evaluada con 100/100 para liderar ceremonias y eliminar bloqueos del equipo.</t>
  </si>
  <si>
    <t xml:space="preserve">cindialopez@gmail.com</t>
  </si>
  <si>
    <t xml:space="preserve">Luis Mujica</t>
  </si>
  <si>
    <t xml:space="preserve">SDT1</t>
  </si>
  <si>
    <t xml:space="preserve">Desarrollador Full-Stack versátil, construcción de software, arquitectura web, bases de datos e integración de IA.</t>
  </si>
  <si>
    <t xml:space="preserve">Desarrollador Full-Stack 1 en Laravel 13 / Vue.js 3, evaluado con 96/100 en competencias técnicas.</t>
  </si>
  <si>
    <t xml:space="preserve">luismujica@gmail.com</t>
  </si>
  <si>
    <t xml:space="preserve">Cindia López (Scrum Master)</t>
  </si>
  <si>
    <t xml:space="preserve">Jorge Linares</t>
  </si>
  <si>
    <t xml:space="preserve">SDT2</t>
  </si>
  <si>
    <t xml:space="preserve">Desarrollador Full-Stack junior, diseño estructural, validación de calidad, pruebas de software y soporte frontend.</t>
  </si>
  <si>
    <t xml:space="preserve">Desarrollador Full-Stack 2 en Laravel 13 / Vue.js 3, evaluado con 89/100 en competencias técnicas.</t>
  </si>
  <si>
    <t xml:space="preserve">jorgelinares@gmail.com</t>
  </si>
  <si>
    <t xml:space="preserve">Asociados y Jubilados</t>
  </si>
  <si>
    <t xml:space="preserve">Clientes</t>
  </si>
  <si>
    <t xml:space="preserve">NO CORE</t>
  </si>
  <si>
    <t xml:space="preserve">Más de 700 agremiados (adultos mayores y sobrevivientes) que requieren tramitar datos de forma ágil y digna.</t>
  </si>
  <si>
    <t xml:space="preserve">Beneficiarios finales con acceso a la plataforma web responsive y soporte interactivo con Asistente Virtual IA.</t>
  </si>
  <si>
    <t xml:space="preserve">N/A</t>
  </si>
  <si>
    <t xml:space="preserve">Junta Directiva AJUPTEL</t>
  </si>
  <si>
    <t xml:space="preserve">INTERESADOS</t>
  </si>
  <si>
    <t xml:space="preserve">Medardo Guerrero</t>
  </si>
  <si>
    <t xml:space="preserve">Patrocinadores</t>
  </si>
  <si>
    <t xml:space="preserve">Patrocinador principal y aprobador final del proyecto, velando por alcance, tiempo y presupuesto.</t>
  </si>
  <si>
    <t xml:space="preserve">Presidente de AJUPTEL Carabobo, máxima autoridad del proyecto y toma de decisiones estratégicas.</t>
  </si>
  <si>
    <t xml:space="preserve">medardo.guerrero001@gmail.com</t>
  </si>
  <si>
    <t xml:space="preserve">Gabriel Falcón</t>
  </si>
  <si>
    <t xml:space="preserve">Proveedor o soporte</t>
  </si>
  <si>
    <t xml:space="preserve">Superadministrador del sistema, encargado de verificar la infraestructura técnica, soporte e integridad.</t>
  </si>
  <si>
    <t xml:space="preserve">Director de Tecnología de AJUPTEL, encargado del mantenimiento técnico futuro de la plataforma.</t>
  </si>
  <si>
    <t xml:space="preserve">gabofalcon29@gmail.com</t>
  </si>
  <si>
    <t xml:space="preserve">Benilde Domínguez</t>
  </si>
  <si>
    <t xml:space="preserve">Rol Administrador en la gestión de datos operativos, registro de usuarios y emisión de reportes.</t>
  </si>
  <si>
    <t xml:space="preserve">Secretaria General de AJUPTEL, usuaria administrativa clave para la migración y operación diaria.</t>
  </si>
  <si>
    <t xml:space="preserve">Negra3469@gmail.com</t>
  </si>
  <si>
    <t xml:space="preserve">CANTV / APS</t>
  </si>
  <si>
    <t xml:space="preserve">Aliados externos que gestionan beneficios de salud y trámites administrativos con la asociación.</t>
  </si>
  <si>
    <t xml:space="preserve">Entes externos claves para la sincronización de beneficios y notificaciones de atención primaria.</t>
  </si>
  <si>
    <t xml:space="preserve">ESTRUCTURA DE LA ÉPICA O HISTORIA DE USUARIO </t>
  </si>
  <si>
    <t xml:space="preserve">HISTORIAS DE USUARIO</t>
  </si>
  <si>
    <t xml:space="preserve">ID</t>
  </si>
  <si>
    <t xml:space="preserve">TIPO</t>
  </si>
  <si>
    <t xml:space="preserve">Ejemplo</t>
  </si>
  <si>
    <t xml:space="preserve">Priorización</t>
  </si>
  <si>
    <t xml:space="preserve">Rol/Personal</t>
  </si>
  <si>
    <t xml:space="preserve">¿Qué requiere?</t>
  </si>
  <si>
    <t xml:space="preserve">DC/UAT</t>
  </si>
  <si>
    <t xml:space="preserve">Valor/ Beneficio</t>
  </si>
  <si>
    <t xml:space="preserve">Estimación</t>
  </si>
  <si>
    <t xml:space="preserve">Esfuerzo Sem/Hombre</t>
  </si>
  <si>
    <t xml:space="preserve">Product Backlog</t>
  </si>
  <si>
    <t xml:space="preserve">Duración Real Equipo 2 Dev</t>
  </si>
  <si>
    <t xml:space="preserve">EP001</t>
  </si>
  <si>
    <t xml:space="preserve">Epica</t>
  </si>
  <si>
    <t xml:space="preserve">Administrador / Usuarios</t>
  </si>
  <si>
    <t xml:space="preserve">Autenticación y Control de Acceso – Módulo centralizado de control de acceso, seguridad y perfiles</t>
  </si>
  <si>
    <t xml:space="preserve">Cumplimiento de estándares de seguridad y sesiones</t>
  </si>
  <si>
    <t xml:space="preserve">Mitigar riesgos de seguridad e intrusión</t>
  </si>
  <si>
    <t xml:space="preserve">2.5 Semanas</t>
  </si>
  <si>
    <t xml:space="preserve">Módulo de control de acceso y seguridad</t>
  </si>
  <si>
    <t xml:space="preserve">1.2 Semanas</t>
  </si>
  <si>
    <t xml:space="preserve">HU001</t>
  </si>
  <si>
    <t xml:space="preserve">US</t>
  </si>
  <si>
    <t xml:space="preserve">1.1</t>
  </si>
  <si>
    <t xml:space="preserve">Usuario (Cualquier Rol)</t>
  </si>
  <si>
    <t xml:space="preserve">Iniciar sesión introduciendo mi usuario y contraseña cifrada</t>
  </si>
  <si>
    <t xml:space="preserve">Validación de campos obligatorios y bloqueo al 3er intento fallido</t>
  </si>
  <si>
    <t xml:space="preserve">Resguardo de datos privados</t>
  </si>
  <si>
    <t xml:space="preserve">1 Semanas</t>
  </si>
  <si>
    <t xml:space="preserve">Como Usuario requiero iniciar sesión para acceder de forma segura</t>
  </si>
  <si>
    <t xml:space="preserve">0.5 Semanas</t>
  </si>
  <si>
    <t xml:space="preserve">HU002</t>
  </si>
  <si>
    <t xml:space="preserve">1.2</t>
  </si>
  <si>
    <t xml:space="preserve">Supervisor (Administrador)</t>
  </si>
  <si>
    <t xml:space="preserve">Un panel de administración para asignar roles y modificar permisos específicos</t>
  </si>
  <si>
    <t xml:space="preserve">Cambios de rol aplicados en tiempo real sin alterar la integridad de la BD</t>
  </si>
  <si>
    <t xml:space="preserve">Control administrativo total</t>
  </si>
  <si>
    <t xml:space="preserve">1 Semana</t>
  </si>
  <si>
    <t xml:space="preserve">Como Supervisor requiero un panel de roles para control administrativo</t>
  </si>
  <si>
    <t xml:space="preserve">0.5 Semana</t>
  </si>
  <si>
    <t xml:space="preserve">HU003</t>
  </si>
  <si>
    <t xml:space="preserve">1.3</t>
  </si>
  <si>
    <t xml:space="preserve">Una opción accesible para cerrar la sesión activa y destruir tokens</t>
  </si>
  <si>
    <t xml:space="preserve">Redirección automática al login y borrado completo de la caché local</t>
  </si>
  <si>
    <t xml:space="preserve">Privacidad en entornos compartidos</t>
  </si>
  <si>
    <t xml:space="preserve">Como Usuario requiero cerrar sesión para privacidad en equipos compartidos</t>
  </si>
  <si>
    <t xml:space="preserve">0.2 Semanas</t>
  </si>
  <si>
    <t xml:space="preserve">EP002</t>
  </si>
  <si>
    <t xml:space="preserve">Operacional / Supervisor</t>
  </si>
  <si>
    <t xml:space="preserve">Gestión de Asociados (CRUD) – Sistema modular de administración, registro y control de asociados de AJUPTEL</t>
  </si>
  <si>
    <t xml:space="preserve">Integridad referencial de datos, soporte para búsquedas masivas y auditoría</t>
  </si>
  <si>
    <t xml:space="preserve">Centralización del activo de información</t>
  </si>
  <si>
    <t xml:space="preserve">4 Semanas</t>
  </si>
  <si>
    <t xml:space="preserve">Sistema modular de gestión de asociados de AJUPTEL</t>
  </si>
  <si>
    <t xml:space="preserve">2 Semanas</t>
  </si>
  <si>
    <t xml:space="preserve">HU004</t>
  </si>
  <si>
    <t xml:space="preserve">2.1</t>
  </si>
  <si>
    <t xml:space="preserve">Usuario Operacional</t>
  </si>
  <si>
    <t xml:space="preserve">Registrar un nuevo asociado cargando sus datos personales e institucionales</t>
  </si>
  <si>
    <t xml:space="preserve">Validación de cédula única y guardado correcto en MySQL</t>
  </si>
  <si>
    <t xml:space="preserve">Base de datos actualizada</t>
  </si>
  <si>
    <t xml:space="preserve">1.5 Semana</t>
  </si>
  <si>
    <t xml:space="preserve">Como Usuario Operacional requiero registrar un nuevo asociado para su incorporación</t>
  </si>
  <si>
    <t xml:space="preserve">0.8 Semana</t>
  </si>
  <si>
    <t xml:space="preserve">HU005</t>
  </si>
  <si>
    <t xml:space="preserve">2.2</t>
  </si>
  <si>
    <t xml:space="preserve">Un buscador y una ficha técnica para consultar información del asociado</t>
  </si>
  <si>
    <t xml:space="preserve">Tiempo de respuesta menor a 2 segundos y despliegue limpio de datos</t>
  </si>
  <si>
    <t xml:space="preserve">Agilidad en la atención presencial</t>
  </si>
  <si>
    <t xml:space="preserve">Como Usuario Operacional requiero un buscador rápido para agilizar la atención</t>
  </si>
  <si>
    <t xml:space="preserve">HU006</t>
  </si>
  <si>
    <t xml:space="preserve">2.3</t>
  </si>
  <si>
    <t xml:space="preserve">Modificar y guardar cambios en los expedientes digitales existentes</t>
  </si>
  <si>
    <t xml:space="preserve">Registro automático en la tabla de auditoría indicando cambios</t>
  </si>
  <si>
    <t xml:space="preserve">Corrección oportuna de errores</t>
  </si>
  <si>
    <t xml:space="preserve">Como Usuario Operacional requiero modificar expedientes para corregir errores</t>
  </si>
  <si>
    <t xml:space="preserve">HU007</t>
  </si>
  <si>
    <t xml:space="preserve">2.4</t>
  </si>
  <si>
    <t xml:space="preserve">Supervisor</t>
  </si>
  <si>
    <t xml:space="preserve">Cambiar el estatus de un asociado a "Inactivo" por egreso o fallecimiento</t>
  </si>
  <si>
    <t xml:space="preserve">El asociado cambia de estado pero sus datos históricos permanecen accesibles</t>
  </si>
  <si>
    <t xml:space="preserve">Depuración del padrón activo</t>
  </si>
  <si>
    <t xml:space="preserve">Como Supervisor requiero inactivar registros para gestionar egresos</t>
  </si>
  <si>
    <t xml:space="preserve">EP003</t>
  </si>
  <si>
    <t xml:space="preserve">Gestión de Familiares, Voceros y Proveedores - Registro de núcleo familiar directo, red de vocerías regionales y proveedores</t>
  </si>
  <si>
    <t xml:space="preserve">Consistencia en relaciones uno-a-muchos y control de vigencia APS</t>
  </si>
  <si>
    <t xml:space="preserve">Control del beneficio extendido</t>
  </si>
  <si>
    <t xml:space="preserve">3 Semanas</t>
  </si>
  <si>
    <t xml:space="preserve">Registro de núcleo familiar y red de vocerías</t>
  </si>
  <si>
    <t xml:space="preserve">1.5 Semanas</t>
  </si>
  <si>
    <t xml:space="preserve">HU008</t>
  </si>
  <si>
    <t xml:space="preserve">3.1</t>
  </si>
  <si>
    <t xml:space="preserve">Registrar los datos de familiares directos vinculados al titular</t>
  </si>
  <si>
    <t xml:space="preserve">Validación del tipo de parentesco y enlace visual con el titular</t>
  </si>
  <si>
    <t xml:space="preserve">Cobertura de salud organizada</t>
  </si>
  <si>
    <t xml:space="preserve">Como Usuario Operacional requiero registrar familiares para el núcleo familiar</t>
  </si>
  <si>
    <t xml:space="preserve">HU009</t>
  </si>
  <si>
    <t xml:space="preserve">3.2</t>
  </si>
  <si>
    <t xml:space="preserve">Consultar, actualizar o dar de baja el registro de un familiar</t>
  </si>
  <si>
    <t xml:space="preserve">Confirmación obligatoria en pantalla antes de ejecutar bajas en BD</t>
  </si>
  <si>
    <t xml:space="preserve">Flexibilidad administrativa</t>
  </si>
  <si>
    <t xml:space="preserve">Como Usuario Operacional requiero gestionar familiares para mantener datos al día</t>
  </si>
  <si>
    <t xml:space="preserve">HU010</t>
  </si>
  <si>
    <t xml:space="preserve">3.3</t>
  </si>
  <si>
    <t xml:space="preserve">Registrar y controlar la asignación de voceros y sus zonas</t>
  </si>
  <si>
    <t xml:space="preserve">Evitar la duplicidad de voceros principales activos por zona geográfica</t>
  </si>
  <si>
    <t xml:space="preserve">Estructura organizativa sólida</t>
  </si>
  <si>
    <t xml:space="preserve">Como Supervisor requiero administrar voceros para mantener la representación</t>
  </si>
  <si>
    <t xml:space="preserve">HU011</t>
  </si>
  <si>
    <t xml:space="preserve">3.4</t>
  </si>
  <si>
    <t xml:space="preserve">Supervisor / Operacional</t>
  </si>
  <si>
    <t xml:space="preserve">Administrar un directorio centralizado de proveedores de salud (APS)</t>
  </si>
  <si>
    <t xml:space="preserve">Filtros funcionales por especialidad médica, ubicación y cobertura</t>
  </si>
  <si>
    <t xml:space="preserve">Alianzas optimizadas</t>
  </si>
  <si>
    <t xml:space="preserve">Como Supervisor requiero gestionar proveedores APS para el directorio médico</t>
  </si>
  <si>
    <t xml:space="preserve">0.3 Semanas</t>
  </si>
  <si>
    <t xml:space="preserve">E004</t>
  </si>
  <si>
    <t xml:space="preserve">Épica</t>
  </si>
  <si>
    <t xml:space="preserve">4</t>
  </si>
  <si>
    <t xml:space="preserve">Administrador / Operacional</t>
  </si>
  <si>
    <t xml:space="preserve">Importación y Exportación - Permitir la importación masiva de datos desde Excel y la exportación de consultas a múltiples formatos (Excel, PDF, CSV).</t>
  </si>
  <si>
    <t xml:space="preserve">Procesamiento masivo de datos e integridad en exportaciones</t>
  </si>
  <si>
    <t xml:space="preserve">Facilita la migración de información histórica y la generación de archivos administrativos</t>
  </si>
  <si>
    <t xml:space="preserve">Como Administrador / Usuario Operacional requiero importar masivamente datos y exportar consultas a múltiples formatos para agilizar la migración y la gestión informativa</t>
  </si>
  <si>
    <t xml:space="preserve">HU012</t>
  </si>
  <si>
    <t xml:space="preserve">4.1</t>
  </si>
  <si>
    <t xml:space="preserve">Usuario Operacional / Supervisor</t>
  </si>
  <si>
    <t xml:space="preserve">Cargar archivos compatibles (.xlsx o .csv) para migrar información histórica de la Asociación</t>
  </si>
  <si>
    <t xml:space="preserve">Carga de archivos .xlsx/.csv, validación de columnas, detección de duplicados y resumen de procesamiento</t>
  </si>
  <si>
    <t xml:space="preserve">Migración rápida y confiable de la información histórica de la asociación</t>
  </si>
  <si>
    <t xml:space="preserve">Como Usuario Operacional requiero importar datos de asociados desde archivos compatibles para migrar la información</t>
  </si>
  <si>
    <t xml:space="preserve">0.7 semana</t>
  </si>
  <si>
    <t xml:space="preserve">HU013</t>
  </si>
  <si>
    <t xml:space="preserve">4.2</t>
  </si>
  <si>
    <t xml:space="preserve">Usuario Operacional / Supervisor / Ejecutivo</t>
  </si>
  <si>
    <t xml:space="preserve">Exportar información filtrada y reportes desde los módulos de consulta a formatos compatibles</t>
  </si>
  <si>
    <t xml:space="preserve">Exportación a Excel, PDF y CSV reflejando exactamente la información filtrada por el usuario</t>
  </si>
  <si>
    <t xml:space="preserve">Facilidad para compartir información administrativa a entes externos</t>
  </si>
  <si>
    <t xml:space="preserve">Como Usuario Operacional / Supervisor / Ejecutivo requiero exportar consultas y reportes en diferentes formatos</t>
  </si>
  <si>
    <t xml:space="preserve">EP005</t>
  </si>
  <si>
    <t xml:space="preserve">Ejecutivo</t>
  </si>
  <si>
    <t xml:space="preserve">Dashboard y Reportes Ejecutivos - Acceso a indicadores y reportes administrativos para apoyar la gestión</t>
  </si>
  <si>
    <t xml:space="preserve">Visualización ejecutiva de indicadores y consolidación de reportes</t>
  </si>
  <si>
    <t xml:space="preserve">Apoyo a la toma de decisiones estratégicas de la Asociación</t>
  </si>
  <si>
    <t xml:space="preserve">2.1 Semanas</t>
  </si>
  <si>
    <t xml:space="preserve">Como ejecutivo (Junta Directiva) requiero acceder a un dashboard e indicadores administrativos para apoyar la gestión y toma de decisiones de la Asociación</t>
  </si>
  <si>
    <t xml:space="preserve">1.1 Semanas</t>
  </si>
  <si>
    <t xml:space="preserve">HU014</t>
  </si>
  <si>
    <t xml:space="preserve">5.1</t>
  </si>
  <si>
    <t xml:space="preserve">Visualizar un dashboard interactivo con indicadores administrativos de la Asociación</t>
  </si>
  <si>
    <t xml:space="preserve">Visualización de tarjetas informativas y gráficos dinámicos por categorías</t>
  </si>
  <si>
    <t xml:space="preserve">Consulta rápida y resumida del estado general de la Asociación</t>
  </si>
  <si>
    <t xml:space="preserve">Como ejecutivo requiero visualizar un dashboard interactivo con indicadores administrativos para consultar la información resumida de la Asociación</t>
  </si>
  <si>
    <t xml:space="preserve">HU015</t>
  </si>
  <si>
    <t xml:space="preserve">5.2</t>
  </si>
  <si>
    <t xml:space="preserve">Ejecutivo / Supervisor</t>
  </si>
  <si>
    <t xml:space="preserve">Generar reportes detallados con filtros avanzados por sectores y geolocalización</t>
  </si>
  <si>
    <t xml:space="preserve">Filtros cruzados dinámicos y tablas de resultados ordenables</t>
  </si>
  <si>
    <t xml:space="preserve">Análisis profundo de la información de asociados para gestión operativa</t>
  </si>
  <si>
    <t xml:space="preserve">Como ejecutivo / supervisor requiero generar reportes detallados con filtros avanzados para analizar la información de los asociados por sectores y categorías</t>
  </si>
  <si>
    <t xml:space="preserve">0.6 Semanas</t>
  </si>
  <si>
    <t xml:space="preserve">E006</t>
  </si>
  <si>
    <t xml:space="preserve">Asociado / Público general</t>
  </si>
  <si>
    <t xml:space="preserve">Portal de Asociados y Comunicación - Acceso a perfil, servicios, directorio, noticias y accesibilidad</t>
  </si>
  <si>
    <t xml:space="preserve">Visualización de datos propios, catálogo de servicios, directorio, noticias y herramientas de accesibilidad</t>
  </si>
  <si>
    <t xml:space="preserve">Mejora la atención al agremiado y garantiza el acceso inclusivo a la información</t>
  </si>
  <si>
    <t xml:space="preserve">6.7 Semanas</t>
  </si>
  <si>
    <t xml:space="preserve">Como Asociado / Público general requiero un portal web accesible para consultar información personal, servicios, directorio institucional y noticias de la Asociación</t>
  </si>
  <si>
    <t xml:space="preserve">3.3 Semanas</t>
  </si>
  <si>
    <t xml:space="preserve">HU016</t>
  </si>
  <si>
    <t xml:space="preserve">6.1</t>
  </si>
  <si>
    <t xml:space="preserve">Asociado</t>
  </si>
  <si>
    <t xml:space="preserve">Iniciar sesión en el portal exclusivo de asociados</t>
  </si>
  <si>
    <t xml:space="preserve">Autenticación independiente y control de sesiones para asociados</t>
  </si>
  <si>
    <t xml:space="preserve">Acceso seguro a la información personal del agremiado</t>
  </si>
  <si>
    <t xml:space="preserve">Como Asociado requiero iniciar sesión en el portal para acceder a mi información personal de forma segura</t>
  </si>
  <si>
    <t xml:space="preserve">HU017</t>
  </si>
  <si>
    <t xml:space="preserve">6.2</t>
  </si>
  <si>
    <t xml:space="preserve">Consultar expediente e historial personal en el portal</t>
  </si>
  <si>
    <t xml:space="preserve">Visualización clara de datos personales, familiares vinculados y estatus</t>
  </si>
  <si>
    <t xml:space="preserve">Transparencia e información actualizada para el asociado</t>
  </si>
  <si>
    <t xml:space="preserve">Como Asociado requiero consultar mi expediente personal para verificar mi estatus y datos registrados en la Asociación</t>
  </si>
  <si>
    <t xml:space="preserve">HU018</t>
  </si>
  <si>
    <t xml:space="preserve">6.3</t>
  </si>
  <si>
    <t xml:space="preserve">Consultar el catálogo de beneficios y convenios de salud/asistencia social</t>
  </si>
  <si>
    <t xml:space="preserve">Catálogo interactivo con información de convenios activos y requisitos</t>
  </si>
  <si>
    <t xml:space="preserve">Facilidad de acceso a los beneficios institucionales</t>
  </si>
  <si>
    <t xml:space="preserve">Como Asociado requiero consultar el catálogo de beneficios y convenios de asistencia social para conocer las opciones disponibles</t>
  </si>
  <si>
    <t xml:space="preserve">HU019</t>
  </si>
  <si>
    <t xml:space="preserve">6.4</t>
  </si>
  <si>
    <t xml:space="preserve">Consultar el directorio institucional y datos de contacto de voceros sectoriales</t>
  </si>
  <si>
    <t xml:space="preserve">Listado dinámico de canales oficiales y voceros por zona</t>
  </si>
  <si>
    <t xml:space="preserve">Comunicación directa entre asociados y sus representantes</t>
  </si>
  <si>
    <t xml:space="preserve">0.9 semanas</t>
  </si>
  <si>
    <t xml:space="preserve">Como Asociado requiero consultar el directorio institucional y voceros para contactar a mis representantes sectoriales</t>
  </si>
  <si>
    <t xml:space="preserve">0.4 Semanas</t>
  </si>
  <si>
    <t xml:space="preserve">HU020</t>
  </si>
  <si>
    <t xml:space="preserve">6.5</t>
  </si>
  <si>
    <t xml:space="preserve">Gestionar publicaciones y noticias en la plataforma web (CRUD)</t>
  </si>
  <si>
    <t xml:space="preserve">Panel administrativo para crear, editar, publicar y adjuntar imágenes</t>
  </si>
  <si>
    <t xml:space="preserve">Difusión oportuna de eventos, comunicados y novedades de AJUPTEL</t>
  </si>
  <si>
    <t xml:space="preserve">Como usuario Operacional / Administrador requiero gestionar la publicación de noticias para mantener informados a los agremiados</t>
  </si>
  <si>
    <t xml:space="preserve">HU021</t>
  </si>
  <si>
    <t xml:space="preserve">6.6</t>
  </si>
  <si>
    <t xml:space="preserve">Público general / Visitante</t>
  </si>
  <si>
    <t xml:space="preserve">Consultar las noticias y publicaciones institucionales de la Asociación</t>
  </si>
  <si>
    <t xml:space="preserve">Sección pública responsiva para lectura de comunicados activos</t>
  </si>
  <si>
    <t xml:space="preserve">Informa a la comunidad y asociados sobre la gestión institucional</t>
  </si>
  <si>
    <t xml:space="preserve">Como Público general / Visitante requiero consultar las noticias y publicaciones institucionales para estar informado sobre las novedades de la Asociación</t>
  </si>
  <si>
    <t xml:space="preserve">HU028</t>
  </si>
  <si>
    <t xml:space="preserve">6.7</t>
  </si>
  <si>
    <t xml:space="preserve">Cualquier Usuario</t>
  </si>
  <si>
    <t xml:space="preserve">Ajustar preferencias de visualización y accesibilidad en la portal público</t>
  </si>
  <si>
    <t xml:space="preserve">Menú de accesibilidad en pre-encabezado, tamaño de letra y alto contraste</t>
  </si>
  <si>
    <t xml:space="preserve">Garantiza la inclusión de cualquier visitante con requerimientos visuales</t>
  </si>
  <si>
    <t xml:space="preserve">Como Público general / Visitante requiero ajustar las opciones de visualización y accesibilidad en la plataforma para facilitar la lectura del contenido</t>
  </si>
  <si>
    <t xml:space="preserve">EP007</t>
  </si>
  <si>
    <t xml:space="preserve">Asociado / Usuario operacional</t>
  </si>
  <si>
    <t xml:space="preserve">Módulo de gestión documental para digitalización, carga y consulta de archivos</t>
  </si>
  <si>
    <t xml:space="preserve">Resguardo seguro en servidor, validación de formatos (PDF, PNG) y cifrado básico</t>
  </si>
  <si>
    <t xml:space="preserve">Mitigación de pérdida de documentos físicos</t>
  </si>
  <si>
    <t xml:space="preserve">3.4 Semanas</t>
  </si>
  <si>
    <t xml:space="preserve">Módulo de gestión documental e historial digital</t>
  </si>
  <si>
    <t xml:space="preserve">1.7 Semanas</t>
  </si>
  <si>
    <t xml:space="preserve">HU022</t>
  </si>
  <si>
    <t xml:space="preserve">7.1</t>
  </si>
  <si>
    <t xml:space="preserve">Cargar documentos digitalizados (cédula, constancias) directamente al expediente del asociado</t>
  </si>
  <si>
    <t xml:space="preserve">Validación de tamaño máximo de archivo (5MB) y almacenamiento estructurado</t>
  </si>
  <si>
    <t xml:space="preserve">Expediente digital unificado</t>
  </si>
  <si>
    <t xml:space="preserve">Como Usuario Operacional requiero cargar documentos al expediente para su digitalización</t>
  </si>
  <si>
    <t xml:space="preserve">HU023</t>
  </si>
  <si>
    <t xml:space="preserve">7.2</t>
  </si>
  <si>
    <t xml:space="preserve">Asociado / Usuario Operacional</t>
  </si>
  <si>
    <t xml:space="preserve">Consultar y descargar los documentos cargados en su perfil de usuario</t>
  </si>
  <si>
    <t xml:space="preserve">Control de permisos de lectura según el rol y descarga limpia en navegador</t>
  </si>
  <si>
    <t xml:space="preserve">Acceso oportuno a la información</t>
  </si>
  <si>
    <t xml:space="preserve">Como Asociado requiero consultar mis documentos cargados para verificación</t>
  </si>
  <si>
    <t xml:space="preserve">HU024</t>
  </si>
  <si>
    <t xml:space="preserve">7.3</t>
  </si>
  <si>
    <t xml:space="preserve">Enviar notificaciones por correo con los documentos adjuntos validados</t>
  </si>
  <si>
    <t xml:space="preserve">Integración con el servicio de correo institucional y verificación de envío</t>
  </si>
  <si>
    <t xml:space="preserve">Automatización de comunicaciones</t>
  </si>
  <si>
    <t xml:space="preserve">0.8 Semanas</t>
  </si>
  <si>
    <t xml:space="preserve">Como Usuario Operacional requiero enviar documentos por correo para agilizar trámites</t>
  </si>
  <si>
    <t xml:space="preserve">HU025</t>
  </si>
  <si>
    <t xml:space="preserve">7.4</t>
  </si>
  <si>
    <t xml:space="preserve">Auditar los archivos cargados para validar su legibilidad y vigencia</t>
  </si>
  <si>
    <t xml:space="preserve">Opción de marcado (Aprobado/Rechazado) con comentarios visibles para el operador</t>
  </si>
  <si>
    <t xml:space="preserve">Control de calidad de la información</t>
  </si>
  <si>
    <t xml:space="preserve">Como Supervisor requiero auditar los archivos cargados para vigencia documental</t>
  </si>
  <si>
    <t xml:space="preserve">EP008</t>
  </si>
  <si>
    <t xml:space="preserve">Cualquier Rol</t>
  </si>
  <si>
    <t xml:space="preserve">Implementación de asistente virtual interactivo (Chatbot) con inteligencia artificial</t>
  </si>
  <si>
    <t xml:space="preserve">Respuestas automáticas basadas en base de conocimientos y guías de uso, botones de accesibilidad adaptativos</t>
  </si>
  <si>
    <t xml:space="preserve">Soporte al usuario 24/7 y accesibilidad</t>
  </si>
  <si>
    <t xml:space="preserve">Asistente virtual inteligente para soporte interactivo</t>
  </si>
  <si>
    <t xml:space="preserve">HU026</t>
  </si>
  <si>
    <t xml:space="preserve">8.1</t>
  </si>
  <si>
    <t xml:space="preserve">Interactuar con un chatbot en la interfaz web para resolver dudas frecuentes</t>
  </si>
  <si>
    <t xml:space="preserve">Componente chat interactivo con respuestas adpatadas y rápidas</t>
  </si>
  <si>
    <t xml:space="preserve">Autogestión de usuarios</t>
  </si>
  <si>
    <t xml:space="preserve">Como Usuario requiero interactuar con el chatbot para resolver dudas frecuentes</t>
  </si>
  <si>
    <t xml:space="preserve">0.7 Semanas</t>
  </si>
  <si>
    <t xml:space="preserve">HU027</t>
  </si>
  <si>
    <t xml:space="preserve">8.2</t>
  </si>
  <si>
    <t xml:space="preserve">Administrador</t>
  </si>
  <si>
    <t xml:space="preserve">Actualizar y entrenar la base de conocimientos y respuestas del asistente virtual</t>
  </si>
  <si>
    <t xml:space="preserve">Módulo administrativo CRUD para preguntas y respuestas preestablecidas</t>
  </si>
  <si>
    <t xml:space="preserve">Mantenimiento continuo del bot</t>
  </si>
  <si>
    <t xml:space="preserve">Como Administrador requiero actualizar la base de conocimientos para mejorar y adpatar las respuestas</t>
  </si>
  <si>
    <t xml:space="preserve">26.7 Semanas-Hombre </t>
  </si>
  <si>
    <t xml:space="preserve">13.3 Semanas (Ajustado a 14 Semanas de Calendario) </t>
  </si>
  <si>
    <t xml:space="preserve">Nota sobre la Medición Temporal del Proyecto:</t>
  </si>
  <si>
    <t xml:space="preserve">Las estimaciones de desarrollo están expresadas en semanas. La columna "Esfuerzo Sem/Hombre" refleja el volumen de trabajo neto equivalente para un único desarrollador (sumando un total de 26.7 semanas-hombre). La columna "Duración Real del Equipo" corresponde al tiempo en calendario ejecutado por los dos desarrolladores en paralelo (13.3 semanas netas).</t>
  </si>
  <si>
    <t xml:space="preserve">La diferencia para completar las 14 semanas nominales del proyecto (7 Sprints de 2 semanas) se asignó a actividades complementarias de estabilización, pruebas QA cruzadas desempeñadas por el equipo/Scrum Master y el soporte técnico durante los picos de mayor demanda laboral (como el Sprint 2).</t>
  </si>
  <si>
    <t xml:space="preserve">Matriz de Simulaciones para la Fila "Fecha Entregable" </t>
  </si>
  <si>
    <r>
      <rPr>
        <sz val="12"/>
        <color rgb="FFFFFFFF"/>
        <rFont val="Calibri"/>
        <family val="2"/>
        <charset val="1"/>
      </rPr>
      <t xml:space="preserve">Simulación 1</t>
    </r>
    <r>
      <rPr>
        <b val="true"/>
        <sz val="12"/>
        <color rgb="FFFFFFFF"/>
        <rFont val="Calibri"/>
        <family val="2"/>
        <charset val="1"/>
      </rPr>
      <t xml:space="preserve"> (Sprint de 2 Semanas)</t>
    </r>
  </si>
  <si>
    <t xml:space="preserve"># Sprint</t>
  </si>
  <si>
    <t xml:space="preserve">SP 1</t>
  </si>
  <si>
    <t xml:space="preserve">SP 2</t>
  </si>
  <si>
    <t xml:space="preserve">SP 3</t>
  </si>
  <si>
    <t xml:space="preserve">SP 4</t>
  </si>
  <si>
    <t xml:space="preserve">SP 5</t>
  </si>
  <si>
    <t xml:space="preserve">SP 6</t>
  </si>
  <si>
    <t xml:space="preserve">SP 7</t>
  </si>
  <si>
    <t xml:space="preserve">SP8</t>
  </si>
  <si>
    <t xml:space="preserve"># Semana</t>
  </si>
  <si>
    <t xml:space="preserve">Fecha Entregable</t>
  </si>
  <si>
    <r>
      <rPr>
        <sz val="12"/>
        <color rgb="FFFFFFFF"/>
        <rFont val="Calibri"/>
        <family val="2"/>
        <charset val="1"/>
      </rPr>
      <t xml:space="preserve">Simulación 2</t>
    </r>
    <r>
      <rPr>
        <b val="true"/>
        <sz val="12"/>
        <color rgb="FFFFFFFF"/>
        <rFont val="Calibri"/>
        <family val="2"/>
        <charset val="1"/>
      </rPr>
      <t xml:space="preserve"> (Sprint de 3 Semanas)</t>
    </r>
  </si>
  <si>
    <t xml:space="preserve">100 y 300</t>
  </si>
  <si>
    <t xml:space="preserve">300 y 200</t>
  </si>
  <si>
    <r>
      <rPr>
        <sz val="12"/>
        <color rgb="FFFFFFFF"/>
        <rFont val="Calibri"/>
        <family val="2"/>
        <charset val="1"/>
      </rPr>
      <t xml:space="preserve">Simulación 3 </t>
    </r>
    <r>
      <rPr>
        <b val="true"/>
        <sz val="12"/>
        <color rgb="FFFFFFFF"/>
        <rFont val="Calibri"/>
        <family val="2"/>
        <charset val="1"/>
      </rPr>
      <t xml:space="preserve">(Sprint de 4 Semanas)</t>
    </r>
  </si>
  <si>
    <t xml:space="preserve">Relación entre Entregas Operativas y Bloques Arquitectónicos </t>
  </si>
  <si>
    <t xml:space="preserve">Para una correcta interpretación metodológica de esta matriz de simulaciones, se define la equivalencia exacta entre el Plan Operativo Real de 7 Entregas (diseñado en Sprints de 2 semanas) y los 4 Bloques Macro de la Arquitectura Kaizenia: </t>
  </si>
  <si>
    <t xml:space="preserve">🔵 Bloque 100 (Capa Base - MVP / 49 Puntos de Historia): Se consolida mediante la ejecución continua de la Entrega 1 (23 SP) y la Entrega 2 (26 SP). En la planificación real se libera al cierre de la Semana 4. En los escenarios simulados de ciclos extendidos (Sprints de 3 y 4 semanas), su cierre técnico se desplaza visualmente hacia el interior del Sprint 2 debido al acoplamiento de la carga de trabajo. </t>
  </si>
  <si>
    <t xml:space="preserve">🟫 Bloque 300 (Capa Intermedia - Backend / 44 Puntos de Historia): Corresponde a la suma de la Entrega 3 (21 SP) y la Entrega 4 (23 SP). Representa la lógica interna del sistema y se desarrolla de forma continua una vez liberados los componentes esenciales del MVP. </t>
  </si>
  <si>
    <t xml:space="preserve">🟩 Bloque 200 (Capa Externa - Frontend Público / 38 Puntos de Historia): Equivale a la integración de la Entrega 5 (20 SP) y la Entrega 6 (18 SP). Su construcción inicia inmediatamente al finalizar las dependencias de datos del backend administrativo. </t>
  </si>
  <si>
    <t xml:space="preserve">🟪 Bloque 400 (Capa de Innovación y Cierre / 8 Puntos de Historia): Representa la Entrega 7,  (8 SP) junto con la fase técnica de cierre. Su hito de congelamiento de código (Code Freeze) varía según la simulación (Semanas 13 o 14 en celda morada), dando paso a las semanas de estabilización, mitigación de deuda técnica y despliegue final (celdas grises). </t>
  </si>
  <si>
    <r>
      <rPr>
        <b val="true"/>
        <sz val="12"/>
        <color rgb="FF000000"/>
        <rFont val="Arial"/>
        <family val="2"/>
        <charset val="1"/>
      </rPr>
      <t xml:space="preserve">Nota de Hibridación de Celdas: </t>
    </r>
    <r>
      <rPr>
        <sz val="12"/>
        <color rgb="FF000000"/>
        <rFont val="Arial"/>
        <family val="2"/>
        <charset val="1"/>
      </rPr>
      <t xml:space="preserve">Los textos mixtos como "100 y 300" o "300 y 200" en la fila Fecha Entregable identifican con precisión los Sprints de transición donde un bloque arquitectónico se da por completado y el equipo absorbe inmediatamente el inicio del siguiente bloque dentro del mismo ciclo de tiempo. </t>
    </r>
  </si>
  <si>
    <t xml:space="preserve">Justificación Técnica de la Simulación 1 (Línea Base del Proyecto - 
Sprints de 2 Semanas) </t>
  </si>
  <si>
    <t xml:space="preserve">La Simulación 1 representa la línea base y la planificación real óptima elegida para la ejecución del proyecto. La estructuración de ciclos de trabajo con una duración fija de 2 semanas responde a criterios estrictos de gestión de riesgos y entrega de valor continuo: </t>
  </si>
  <si>
    <r>
      <rPr>
        <b val="true"/>
        <sz val="12"/>
        <color rgb="FF000000"/>
        <rFont val="Arial"/>
        <family val="2"/>
        <charset val="1"/>
      </rPr>
      <t xml:space="preserve">1. Mitigación de Riesgos e Incertidumbre:</t>
    </r>
    <r>
      <rPr>
        <sz val="12"/>
        <color rgb="FF000000"/>
        <rFont val="Arial"/>
        <family val="2"/>
        <charset val="1"/>
      </rPr>
      <t xml:space="preserve"> Al establecer celdas de trabajo cortas (14 días), el equipo mitiga desviaciones en la estimación de los 139 puntos de historia totales. Cualquier error de alcance o problema técnico se detecta y corrige en la Review del Sprint inmediato, evitando el arrastre de deuda técnica.</t>
    </r>
  </si>
  <si>
    <r>
      <rPr>
        <b val="true"/>
        <sz val="12"/>
        <color rgb="FF000000"/>
        <rFont val="Arial"/>
        <family val="2"/>
        <charset val="1"/>
      </rPr>
      <t xml:space="preserve">2. Sincronización Perfecta de los Bloques Kaizenia:</t>
    </r>
    <r>
      <rPr>
        <sz val="12"/>
        <color rgb="FF000000"/>
        <rFont val="Arial"/>
        <family val="2"/>
        <charset val="1"/>
      </rPr>
      <t xml:space="preserve"> Bajo este esquema, los bloques arquitectónicos coinciden simétricamente con los cierres de los Sprints sin generar solapamientos críticos en la fila inferior. El MVP (Bloque 100) se completa limpiamente en el SP 2 (Semana 4), el Backend (Bloque 300) cierra de forma exacta en el SP 4 (Semana 8), y el Frontend (Bloque 200) concluye en el SP 6 (Semana 12). Finalmente, el ciclo de desarrollo cierra de forma balanceada con el Code Freeze al término del SP 7 (Semana 14)</t>
    </r>
  </si>
  <si>
    <t xml:space="preserve">Análisis Comparativo de Escenarios (Conclusión Metodológica)</t>
  </si>
  <si>
    <t xml:space="preserve">Al contrastar la Línea Base (Sprints de 2 semanas) contra los escenarios extendidos de 3 y 4 semanas, se extraen las siguientes conclusiones para el informe técnico:</t>
  </si>
  <si>
    <r>
      <rPr>
        <b val="true"/>
        <sz val="12"/>
        <color rgb="FF000000"/>
        <rFont val="Arial"/>
        <family val="2"/>
        <charset val="1"/>
      </rPr>
      <t xml:space="preserve">1. Impacto en el Ritmo de Feedback (Granularidad):</t>
    </r>
    <r>
      <rPr>
        <sz val="12"/>
        <color rgb="FF000000"/>
        <rFont val="Arial"/>
        <family val="2"/>
        <charset val="1"/>
      </rPr>
      <t xml:space="preserve"> La ampliación de los Sprints a 3 o 4 semanas incrementa artificialmente la velocidad nominal por ciclo (~37 SP y ~50 SP respectivamente), pero destruye la granularidad de las 7 entregas planificadas. Obliga a fusionar despliegues independientes, retrasando la capacidad del cliente de validar el software funcional de forma temprana.</t>
    </r>
  </si>
  <si>
    <r>
      <rPr>
        <b val="true"/>
        <sz val="12"/>
        <color rgb="FF000000"/>
        <rFont val="Arial"/>
        <family val="2"/>
        <charset val="1"/>
      </rPr>
      <t xml:space="preserve">2. El Fenómeno de Hibridación de Objetivos:</t>
    </r>
    <r>
      <rPr>
        <sz val="12"/>
        <color rgb="FF000000"/>
        <rFont val="Arial"/>
        <family val="2"/>
        <charset val="1"/>
      </rPr>
      <t xml:space="preserve"> Como se evidencia visualmente en las Simulaciones 2 y 3, los ciclos extendidos provocan que un mismo Sprint deba atender dos focos del negocio radicalmente distintos a la vez (ej. cerrar el hito 100 y abrir el 300 en el mismo SP2). Esto diluye el Sprint Goal (Objetivo del Sprint), incrementa la complejidad en las pruebas de regresión y dificulta la concentración del equipo de desarrollo en una única meta arquitectónica.</t>
    </r>
  </si>
  <si>
    <r>
      <rPr>
        <b val="true"/>
        <sz val="12"/>
        <color rgb="FF000000"/>
        <rFont val="Arial"/>
        <family val="2"/>
        <charset val="1"/>
      </rPr>
      <t xml:space="preserve">3. Garantía de Estabilización Final:</t>
    </r>
    <r>
      <rPr>
        <sz val="12"/>
        <color rgb="FF000000"/>
        <rFont val="Arial"/>
        <family val="2"/>
        <charset val="1"/>
      </rPr>
      <t xml:space="preserve"> El análisis gráfico revela que las Simulaciones 2 y 3 desplazan el Code Freeze hacia la Semana 13, logrando una aparente finalización temprana del desarrollo. Sin embargo, este fenómeno es consecuencia de la rigidez de los Sprints largos, que asignan ventanas desproporcionadas de holgura (hasta 3 semanas en gris) para procesar un remanente mínimo de 8 puntos (Bloque 400). La Simulación 1 demuestra ser la alternativa más eficiente, equilibrando la intensidad de desarrollo continuo hasta la Semana 14 con un ciclo final simétrico y suficiente (SP 8) para la puesta en marcha. </t>
    </r>
  </si>
  <si>
    <t xml:space="preserve">ESTIMACIÓN SPRINTS</t>
  </si>
  <si>
    <t xml:space="preserve">SPRINT 1</t>
  </si>
  <si>
    <t xml:space="preserve">Puntos
(Planning Pocker)</t>
  </si>
  <si>
    <t xml:space="preserve">Equivalencia Release
Esfuerzo</t>
  </si>
  <si>
    <t xml:space="preserve">Unidad</t>
  </si>
  <si>
    <t xml:space="preserve">Consideraciones generales para la estimación</t>
  </si>
  <si>
    <t xml:space="preserve">0.5</t>
  </si>
  <si>
    <t xml:space="preserve">día</t>
  </si>
  <si>
    <t xml:space="preserve">Medio día de trabajo (4 horas). 
Un día completo de trabajo (8 horas). 
Dos días completos de trabajo (16 horas). 
Una semana laborable completa (5 días / 40 horas). 
Un Sprint completo (10 días laborables / 80 horas).
Épica / Agrupador por Módulo: Conjunto de Historias de Usuario agrupadas por su dominio funcional o módulo de negocio (por ejemplo: Autenticación, CRUD de Asociados, Gestión Documental). Su tamaño y duración total se calculan de forma modular mediante la suma de sus historias y pueden ejecutarse a lo largo de uno o varios Sprints según la capacidad del equipo. 
</t>
  </si>
  <si>
    <t xml:space="preserve">Semana</t>
  </si>
  <si>
    <t xml:space="preserve">1.5</t>
  </si>
  <si>
    <t xml:space="preserve">Sprint</t>
  </si>
  <si>
    <t xml:space="preserve">∞</t>
  </si>
  <si>
    <t xml:space="preserve">Bloqueado</t>
  </si>
  <si>
    <t xml:space="preserve">SPRINT 2</t>
  </si>
  <si>
    <t xml:space="preserve">SPRINT 3</t>
  </si>
  <si>
    <t xml:space="preserve">SPRINT 4</t>
  </si>
  <si>
    <t xml:space="preserve">SPRINT 5</t>
  </si>
  <si>
    <t xml:space="preserve">SPRINT 6</t>
  </si>
  <si>
    <t xml:space="preserve">SPRINT 7</t>
  </si>
  <si>
    <t xml:space="preserve">TAREAS  DE LOS SPRIMTS</t>
  </si>
  <si>
    <t xml:space="preserve">HISTORIA DE USUARIO</t>
  </si>
  <si>
    <t xml:space="preserve">Responsable</t>
  </si>
  <si>
    <t xml:space="preserve">Actividad</t>
  </si>
  <si>
    <t xml:space="preserve">Story Points</t>
  </si>
  <si>
    <t xml:space="preserve">Estatus</t>
  </si>
  <si>
    <t xml:space="preserve">HU001 - Inicio de sesión</t>
  </si>
  <si>
    <t xml:space="preserve">Dev Backend</t>
  </si>
  <si>
    <t xml:space="preserve">Configurar el sistema de autenticación nativo en Laravel y control de sesiones.</t>
  </si>
  <si>
    <t xml:space="preserve">Finalizada</t>
  </si>
  <si>
    <t xml:space="preserve">Dev Frontend</t>
  </si>
  <si>
    <t xml:space="preserve">Diseñar las vistas del formulario de Login y validaciones del lado del cliente.</t>
  </si>
  <si>
    <t xml:space="preserve">QA / Tester</t>
  </si>
  <si>
    <t xml:space="preserve">Pruebas de QA: Validación de credenciales contra la base de datos de AJUPTEL Carabobo.</t>
  </si>
  <si>
    <t xml:space="preserve">HU002 - Roles y permisos</t>
  </si>
  <si>
    <t xml:space="preserve">Implementar el control de acceso basado en roles (RBAC), migrando tablas de roles y permisos.</t>
  </si>
  <si>
    <t xml:space="preserve">Adaptar menús y componentes de la interfaz según los privilegios del rol autenticado.</t>
  </si>
  <si>
    <t xml:space="preserve">Pruebas de QA: Verificación de restricciones de acceso y denegación de rutas no autorizadas.</t>
  </si>
  <si>
    <t xml:space="preserve">HU003 - Recuperación de contraseña</t>
  </si>
  <si>
    <t xml:space="preserve">Configurar el servicio de envío de correos (Mailables) y tokens de expiración de claves.</t>
  </si>
  <si>
    <t xml:space="preserve">Diseñar el formulario de solicitud de cambio y la vista para ingresar la nueva contraseña.</t>
  </si>
  <si>
    <t xml:space="preserve">Pruebas de QA: Validación del flujo completo de restablecimiento y expiración de tokens por correo.</t>
  </si>
  <si>
    <t xml:space="preserve">HU020 - Administración de contenido institucional</t>
  </si>
  <si>
    <t xml:space="preserve">Desarrollar el CRUD completo en Laravel (Controlador y Modelos) para gestionar las publicaciones del portal.</t>
  </si>
  <si>
    <t xml:space="preserve">Diseñar el panel administrativo para la creación, edición y carga de imágenes de las noticias.</t>
  </si>
  <si>
    <t xml:space="preserve">Pruebas de QA: Validación funcional del CRUD de noticias (creación, edición, borrado e imágenes).</t>
  </si>
  <si>
    <t xml:space="preserve">HU021 - Consulta de publicaciones</t>
  </si>
  <si>
    <t xml:space="preserve">Construir la vista pública principal y responsiva para que los visitantes externos lean las noticias.</t>
  </si>
  <si>
    <t xml:space="preserve">Crear la ruta de la API y consulta optimizada para listar las publicaciones activas en orden cronológico.</t>
  </si>
  <si>
    <t xml:space="preserve">Pruebas de QA: Validación del diseño responsivo y carga correcta de contenido multimedia en el portal.</t>
  </si>
  <si>
    <t xml:space="preserve">HU004 - Registrar asociados</t>
  </si>
  <si>
    <t xml:space="preserve">Desarrollar endpoint POST en Laravel y validaciones de campos obligatorios en base de datos.</t>
  </si>
  <si>
    <t xml:space="preserve">Diseñar el formulario de registro de asociados con validaciones en tiempo real del lado del cliente.</t>
  </si>
  <si>
    <t xml:space="preserve">Pruebas de QA: Validación de formularios de registro y persistencia correcta de los datos.</t>
  </si>
  <si>
    <t xml:space="preserve">HU005 - Consultar asociados</t>
  </si>
  <si>
    <t xml:space="preserve">Crear consultas optimizadas con Eloquent para listados generales y endpoints con filtros de búsqueda.</t>
  </si>
  <si>
    <t xml:space="preserve">Construir la pantalla de búsqueda, filtros interactivos y el listado prioritario de asociados.</t>
  </si>
  <si>
    <t xml:space="preserve">Pruebas de QA: Verificación de la pantalla de búsqueda, filtros de datos y listados prioritarios.</t>
  </si>
  <si>
    <t xml:space="preserve">HU006 - Actualizar asociados</t>
  </si>
  <si>
    <t xml:space="preserve">Implementar rutas PUT/PATCH en Laravel para la modificación controlada del expediente del asociado.</t>
  </si>
  <si>
    <t xml:space="preserve">Diseñar la interfaz de edición cargando los datos previos del asociado en el formulario.</t>
  </si>
  <si>
    <t xml:space="preserve">Pruebas de QA: Validación de modificación de datos y actualización reflejada en el expediente.</t>
  </si>
  <si>
    <t xml:space="preserve">HU007 - Desactivar asociados</t>
  </si>
  <si>
    <t xml:space="preserve">Configurar la baja lógica (SoftDeletes) en Laravel y el control de estados del registro.</t>
  </si>
  <si>
    <t xml:space="preserve">Implementar botón de cambio de estado y alertas de confirmación en la interfaz de usuario.</t>
  </si>
  <si>
    <t xml:space="preserve">Pruebas de QA: Verificación del cambio de estado y restricción visual de asociados inactivos.</t>
  </si>
  <si>
    <t xml:space="preserve">HU028 – Accesibilidad</t>
  </si>
  <si>
    <t xml:space="preserve">Diseñar e implementar el menú de accesibilidad en el pre-encabezado de la página para facilitar la navegación.</t>
  </si>
  <si>
    <t xml:space="preserve">Desarrollar la lógica de sesión en el servidor para mantener el estado de las preferencias de visualización durante la navegación del usuario.</t>
  </si>
  <si>
    <t xml:space="preserve">Pruebas de QA: Validación de los cambios de visualización del menú superior, navegación por teclado y persistencia de ajustes entre las secciones públicas.</t>
  </si>
  <si>
    <t xml:space="preserve">HU008 - Gestión de familiares</t>
  </si>
  <si>
    <t xml:space="preserve">Crear relación en la base de datos (Llave foránea) y endpoint para vincular la carga familiar al asociado principal.</t>
  </si>
  <si>
    <t xml:space="preserve">Diseñar la interfaz de carga de familiares dentro del expediente del asociado.</t>
  </si>
  <si>
    <t xml:space="preserve">Pruebas de QA: Validación de la correcta carga y vinculación de familiares al asociado principal.</t>
  </si>
  <si>
    <t xml:space="preserve">HU009 - Gestión de voceros</t>
  </si>
  <si>
    <t xml:space="preserve">Desarrollar el CRUD y lógica en Laravel para el registro y control de las vocerías regionales y sectoriales.</t>
  </si>
  <si>
    <t xml:space="preserve">Construir las vistas de administración y asignación para el control de voceros.</t>
  </si>
  <si>
    <t xml:space="preserve">Pruebas de QA: Validación del flujo de registro y control de vocerías regionales y sectoriales.</t>
  </si>
  <si>
    <t xml:space="preserve">HU010 - Asociación múltiple de voceros</t>
  </si>
  <si>
    <t xml:space="preserve">Implementar tabla pivote (Muchos a Muchos) en Laravel para soportar múltiples voceros en un mismo sector.</t>
  </si>
  <si>
    <t xml:space="preserve">Diseñar el componente de selección múltiple en la interfaz para asignar voceros a sectores o actividades.</t>
  </si>
  <si>
    <t xml:space="preserve">Pruebas de QA: Verificación de la lógica de asignación múltiple de voceros a sectores sin conflictos de datos.</t>
  </si>
  <si>
    <t xml:space="preserve">HU011 - Gestión de proveedores</t>
  </si>
  <si>
    <t xml:space="preserve">Crear el módulo y endpoints en Laravel para la administración de convenios con comercios y servicios aliados.</t>
  </si>
  <si>
    <t xml:space="preserve">Diseñar el panel de visualización y registro de proveedores y comercios bajo convenio.</t>
  </si>
  <si>
    <t xml:space="preserve">Pruebas de QA: Validación funcional de la administración de convenios y visualización de comercios aliados.</t>
  </si>
  <si>
    <t xml:space="preserve">HU026 - Detección de duplicados</t>
  </si>
  <si>
    <t xml:space="preserve">Desarrollar algoritmo preventivo (Validadores de Laravel) basado en la Cédula de Identidad (C.I.) antes de persistir.</t>
  </si>
  <si>
    <t xml:space="preserve">Implementar advertencias y bloqueos visuales en tiempo real si el documento de identidad ya existe.</t>
  </si>
  <si>
    <t xml:space="preserve">Pruebas de QA: Validación del algoritmo preventivo intentando registrar Cédulas de Identidad (C.I.) duplicadas.</t>
  </si>
  <si>
    <t xml:space="preserve">HU012 - Importación masiva</t>
  </si>
  <si>
    <t xml:space="preserve">Desarrollar la lógica de procesamiento y parseo de archivos CSV/Excel en Laravel para la migración e inserción masiva.</t>
  </si>
  <si>
    <t xml:space="preserve">Diseñar la interfaz de carga de archivos con barra de progreso y mapeo visual de columnas.</t>
  </si>
  <si>
    <t xml:space="preserve">Pruebas de QA: Validación de la migración masiva con archivos de prueba corruptos y correctos para verificar la integridad.</t>
  </si>
  <si>
    <t xml:space="preserve">HU013 - Exportación de datos</t>
  </si>
  <si>
    <t xml:space="preserve">Configurar librerías en Laravel (como Laravel Excel o similares) para la generación de reportes descargables en Excel y PDF.</t>
  </si>
  <si>
    <t xml:space="preserve">Implementar los botones de descarga del padrón y listados en la interfaz de usuario.</t>
  </si>
  <si>
    <t xml:space="preserve">Pruebas de QA: Verificación de la descarga de datos en formatos abiertos y legibilidad de los archivos generados.</t>
  </si>
  <si>
    <t xml:space="preserve">HU014 - Dashboard ejecutivo</t>
  </si>
  <si>
    <t xml:space="preserve">Construir el tablero visual integrando gráficos interactivos (torta/barras) para la visualización de asociados activos y rangos de edades.</t>
  </si>
  <si>
    <t xml:space="preserve">Crear endpoints optimizados con agregaciones y conteos de base de datos para alimentar los gráficos en tiempo real.</t>
  </si>
  <si>
    <t xml:space="preserve">Pruebas de QA: Validación de la concordancia entre las métricas reflejadas en los gráficos y los datos reales en la base de datos.</t>
  </si>
  <si>
    <t xml:space="preserve">HU015 - Reportes detallados</t>
  </si>
  <si>
    <t xml:space="preserve">Desarrollar consultas con filtros avanzados y cruzados por sectores, geolocalización y beneficios asignados.</t>
  </si>
  <si>
    <t xml:space="preserve">Diseñar la pantalla de reportes con selectores dinámicos, filtros avanzados y tablas de resultados ordenables.</t>
  </si>
  <si>
    <t xml:space="preserve">Pruebas de QA: Validación de los filtros avanzados garantizando que los resultados coincidan exactamente con los criterios seleccionados.</t>
  </si>
  <si>
    <t xml:space="preserve">HU016 - Acceso al portal</t>
  </si>
  <si>
    <t xml:space="preserve">Configurar el controlador de autenticación y generación de sesiones independientes para el rol de asociado regular.</t>
  </si>
  <si>
    <t xml:space="preserve">Diseñar la vista de Login exclusiva para asociados y las validaciones de acceso del lado del cliente.</t>
  </si>
  <si>
    <t xml:space="preserve">Pruebas de QA: Validación de inicio de sesión seguro para el asociado regular y restricción a módulos administrativos.</t>
  </si>
  <si>
    <t xml:space="preserve">HU017 - Consulta de información personal</t>
  </si>
  <si>
    <t xml:space="preserve">Crear endpoint optimizado para consultar el expediente, historial y estatus del asociado autenticado desde la base de datos.</t>
  </si>
  <si>
    <t xml:space="preserve">Construir el perfil del asociado para la visualización organizada de sus datos personales y estatus dentro de la asociación.</t>
  </si>
  <si>
    <t xml:space="preserve">Pruebas de QA: Verificación de que el asociado solo pueda visualizar su propio perfil y que la información cargue correctamente.</t>
  </si>
  <si>
    <t xml:space="preserve">HU018 - Consulta de servicios</t>
  </si>
  <si>
    <t xml:space="preserve">Desarrollar la lógica y rutas de la API para listar los beneficios, convenios de salud y asistencia social activos en la organización.</t>
  </si>
  <si>
    <t xml:space="preserve">Diseñar el catálogo modular e interactivo de beneficios y convenios disponibles para los asociados.</t>
  </si>
  <si>
    <t xml:space="preserve">Pruebas de QA: Validación de la correcta visualización de los módulos de asistencia social y convenios activos.</t>
  </si>
  <si>
    <t xml:space="preserve">HU019 - Información de contacto</t>
  </si>
  <si>
    <t xml:space="preserve">Construir la vista del directorio institucional con los canales oficiales de atención y datos de contacto de los voceros.</t>
  </si>
  <si>
    <t xml:space="preserve">Crear endpoints para proveer la información actualizada del directorio y voceros sectoriales activos de forma dinámica.</t>
  </si>
  <si>
    <t xml:space="preserve">Pruebas de QA: Validación de la carga de información en el directorio institucional y legibilidad de los canales de atención.</t>
  </si>
  <si>
    <t xml:space="preserve">HU022 - Escaneo / carga documental</t>
  </si>
  <si>
    <t xml:space="preserve">Configurar el almacenamiento de archivos (Storage/S3) y validar formatos permitidos (PDF/Imágenes).</t>
  </si>
  <si>
    <t xml:space="preserve">Sin iniciar</t>
  </si>
  <si>
    <t xml:space="preserve">Diseñar la interfaz de carga de archivos con barra de progreso compatible con web responsiva y móvil.</t>
  </si>
  <si>
    <t xml:space="preserve">Pruebas de QA: Validación de subida de archivos correctos, límites de peso y bloqueo de formatos no válidos.</t>
  </si>
  <si>
    <t xml:space="preserve">HU023 - Envío de documentos</t>
  </si>
  <si>
    <t xml:space="preserve">Crear el endpoint de envío de documentos asociándolos al trámite y cambiar estatus en base de datos.</t>
  </si>
  <si>
    <t xml:space="preserve">Implementar el botón y flujo de envío con confirmación visual de éxito o error para el usuario.</t>
  </si>
  <si>
    <t xml:space="preserve">Pruebas de QA: Validación del flujo completo de envío de documentos y verificación de persistencia.</t>
  </si>
  <si>
    <t xml:space="preserve">HU024 - Historial documental</t>
  </si>
  <si>
    <t xml:space="preserve">Desarrollar consultas para el historial de documentos con filtros por fecha y estatus (Aprobado/Rechazado).</t>
  </si>
  <si>
    <t xml:space="preserve">Construir la vista de historial de documentos mostrando su estatus en formato de línea de tiempo o lista.</t>
  </si>
  <si>
    <t xml:space="preserve">Pruebas de QA: Validación de la correcta visualización del historial, actualización de estados y filtros.</t>
  </si>
  <si>
    <t xml:space="preserve">HU025 - Consulta documental</t>
  </si>
  <si>
    <t xml:space="preserve">Crear endpoints y permisos de acceso para que los administradores puedan visualizar los soportes cargados.</t>
  </si>
  <si>
    <t xml:space="preserve">Diseñar el panel administrativo de visualización y visor integrado de soportes digitales (PDF/Imágenes).</t>
  </si>
  <si>
    <t xml:space="preserve">Pruebas de QA: Verificación de acceso al panel de consulta y legibilidad de los soportes digitales abiertos.</t>
  </si>
  <si>
    <t xml:space="preserve">HU027 - Chatbot de ayuda institucional</t>
  </si>
  <si>
    <t xml:space="preserve">Configurar el motor de procesamiento de lenguaje natural (NLP) o API de IA y la base de conocimiento con las preguntas frecuentes.</t>
  </si>
  <si>
    <t xml:space="preserve">Diseñar e integrar la interfaz flotante del chat (widget) en el portal, asegurando un diseño responsivo y accesible.</t>
  </si>
  <si>
    <t xml:space="preserve">Pruebas de QA: Validación de precisión en las respuestas del chatbot, manejo de errores cuando no entienda y fluidez de la interfaz.</t>
  </si>
  <si>
    <t xml:space="preserve">TOTALES</t>
  </si>
  <si>
    <t xml:space="preserve">BURNDOWN CHART</t>
  </si>
  <si>
    <t xml:space="preserve">GESTIÓN DIARIA</t>
  </si>
  <si>
    <t xml:space="preserve">Fecha de Inicio</t>
  </si>
  <si>
    <t xml:space="preserve">Dia</t>
  </si>
  <si>
    <t xml:space="preserve">Trabajo Planeado</t>
  </si>
  <si>
    <t xml:space="preserve">Trabajo Real</t>
  </si>
  <si>
    <t xml:space="preserve">Valor Actual</t>
  </si>
  <si>
    <t xml:space="preserve">Fecha de Fin</t>
  </si>
  <si>
    <t xml:space="preserve">Total de días efectivos de trabajo (ideal time)</t>
  </si>
  <si>
    <t xml:space="preserve">Total de puntos</t>
  </si>
  <si>
    <t xml:space="preserve">Ideal de puntos por día</t>
  </si>
  <si>
    <t xml:space="preserve">Sprint 2 semanas </t>
  </si>
  <si>
    <t xml:space="preserve">Planning Meeting</t>
  </si>
  <si>
    <t xml:space="preserve">Reunion de Revision</t>
  </si>
  <si>
    <t xml:space="preserve">Reunion Retrospectiva</t>
  </si>
  <si>
    <t xml:space="preserve">Dias festivos</t>
  </si>
  <si>
    <t xml:space="preserve">Días realmente efectivos</t>
  </si>
  <si>
    <t xml:space="preserve">OBSERVACIONES TÉCNICAS</t>
  </si>
  <si>
    <t xml:space="preserve">Corte eléctrico (Impedimento 1). Casi no se avanza. </t>
  </si>
  <si>
    <t xml:space="preserve">Ideal de puntos
 por día</t>
  </si>
  <si>
    <t xml:space="preserve">Sprint 3 semanas </t>
  </si>
  <si>
    <t xml:space="preserve">Corte eléctrico (Imp. 2). Casi nada. 
Problemas de BD (Imp. 3). Sigue estancado. 
</t>
  </si>
  <si>
    <t xml:space="preserve">Complejidad Frontend (Imp. 4). Se frena.  
</t>
  </si>
  <si>
    <t xml:space="preserve">Corte eléctrico (Imp. 5). Avanza Casi nada. 
Errores de cifrado (Imp. 6). Sigue estancado. 
</t>
  </si>
  <si>
    <t xml:space="preserve">Corte eléctrico (Imp. 7). Se frena. 
Fuga de memoria (Imp. 8). Sigue frenado. 
Saturación RAM (Imp. 9). Sigue frenado. 
</t>
  </si>
  <si>
    <t xml:space="preserve">Se intenta cerrar HU022, pero QA la rechaza. Se frena. 
HU022 no pasa QA (Imp. 10). Queda pendiente (5 puntos). 
Deuda técnica confirmada. El sprint termina con 5 puntos</t>
  </si>
  <si>
    <t xml:space="preserve">. </t>
  </si>
  <si>
    <t xml:space="preserve"> Latencia de IA (Imp. 12). 
Se frena.
Build issues (Imp. 13). Se frena ligeramente.</t>
  </si>
  <si>
    <t xml:space="preserve"> </t>
  </si>
  <si>
    <t xml:space="preserve">GESTIÓN DE IMPEDIMENTOS</t>
  </si>
  <si>
    <t xml:space="preserve">Fecha</t>
  </si>
  <si>
    <t xml:space="preserve">Descripción del impedimento e impacto</t>
  </si>
  <si>
    <t xml:space="preserve">Acciones preventivas o correctivas</t>
  </si>
  <si>
    <t xml:space="preserve">F. Ultima Actualización</t>
  </si>
  <si>
    <t xml:space="preserve">Riesgo Materializado / Infraestructura</t>
  </si>
  <si>
    <t xml:space="preserve">Corte eléctrico prolongado (6 hrs) e inestabilidad de internet local. Causó un retraso temporal de 48 hrs en el inicio del desarrollo del entorno MVP.</t>
  </si>
  <si>
    <t xml:space="preserve">Activación de conectividad móvil (hotspots), redistribución de tareas en horarios con flujo eléctrico y respaldo en repositorios locales.</t>
  </si>
  <si>
    <t xml:space="preserve">Scrum Master / Equipo Dev</t>
  </si>
  <si>
    <t xml:space="preserve">Resuelto</t>
  </si>
  <si>
    <t xml:space="preserve">Infraestructura / Servicios</t>
  </si>
  <si>
    <t xml:space="preserve">Corte de energía prolongado (6 hrs) y pérdida de conectividad a internet durante el despliegue del entorno local. Impidió la sincronización de repositorios en el Día 2.</t>
  </si>
  <si>
    <t xml:space="preserve">Uso de conexión móvil de respaldo (hotspots) y trabajo en modo offline sincronizando commits locales.</t>
  </si>
  <si>
    <t xml:space="preserve">Scrum Master</t>
  </si>
  <si>
    <t xml:space="preserve">Impedimento Técnico / BD</t>
  </si>
  <si>
    <t xml:space="preserve">Incompatibilidad en los scripts de importación DDL/DML desde plantillas Excel a MySQL por incoherencias de formato de fecha y llaves foráneas. Detuvo la carga inicial del MVP.</t>
  </si>
  <si>
    <t xml:space="preserve">Limpieza de datos en plantillas Excel, estandarización de tipos de datos en UTF-8 y actualización del script de carga en MySQL.</t>
  </si>
  <si>
    <t xml:space="preserve">DBA / Líder Técnico</t>
  </si>
  <si>
    <t xml:space="preserve">Impedimento Técnico / Código</t>
  </si>
  <si>
    <t xml:space="preserve">Complejidad en la lógica de validación del lado del cliente (Frontend) para la HU026 (Detección de duplicados); fallas en el parseo de datos y debounce de peticiones.</t>
  </si>
  <si>
    <t xml:space="preserve">Refactorización de la función de validación en el código, implementando un debounce eficiente para evitar llamadas innecesarias a la API.</t>
  </si>
  <si>
    <t xml:space="preserve">Líder Técnico / Dev Frontend</t>
  </si>
  <si>
    <t xml:space="preserve">Corte de energía prolongado (6 hrs) e inestabilidad de la red local. Afectó la comunicación del equipo durante el inicio del Sprint en el Día 1.</t>
  </si>
  <si>
    <t xml:space="preserve">Uso de conexión móvil de respaldo y sincronización asíncrona de cambios en Git.</t>
  </si>
  <si>
    <t xml:space="preserve">Impedimento Técnico / Seguridad</t>
  </si>
  <si>
    <t xml:space="preserve">Errores en la implementación del algoritmo de cifrado AES-128 CBC para el manejo de datos sensibles; fallas en el relleno (padding) y codificación Base64 al desencriptar.</t>
  </si>
  <si>
    <t xml:space="preserve">Ajuste en la gestión del vector de inicialización (IV), estandarización del relleno PKCS7 en el módulo de seguridad y pruebas de descifrado exitosas.</t>
  </si>
  <si>
    <t xml:space="preserve">Líder Técnico / Dev Fullstack</t>
  </si>
  <si>
    <t xml:space="preserve">Corte de energía prolongado (7 hrs) e inestabilidad del servicio de internet local. Afectó la sincronización de ramas del Frontend en el Día 4.</t>
  </si>
  <si>
    <t xml:space="preserve">Uso de conexión móvil de respaldo (hotspots) y desarrollo offline con commits locales sincronizados en bloque.</t>
  </si>
  <si>
    <t xml:space="preserve">Impedimento Técnico / Frontend</t>
  </si>
  <si>
    <t xml:space="preserve">Problemas de rendimiento y fuga de memoria en la UI al cargar vistas previas de documentos (HU020); fallas en el manejo del estado global (State Management) que congelaban la vista.</t>
  </si>
  <si>
    <t xml:space="preserve">Optimización de renderizado, implementación de carga perezosa (Lazy Loading) y liberación de recursos en memoria tras el procesamiento del archivo.</t>
  </si>
  <si>
    <t xml:space="preserve">Impedimento Técnico / Backend</t>
  </si>
  <si>
    <t xml:space="preserve">Saturación de memoria RAM en el servidor API por manejo ineficiente de peticiones multipart/form-data al subir documentos pesados (HU020); caídas temporales del servicio.</t>
  </si>
  <si>
    <t xml:space="preserve">Implementación de lectura por flujos (Streams), límites de buffer en el middleware de carga y validación asíncrona de firmas MIME.</t>
  </si>
  <si>
    <t xml:space="preserve">Líder Técnico / Backend Dev</t>
  </si>
  <si>
    <t xml:space="preserve">Impedimento Técnico / QA</t>
  </si>
  <si>
    <t xml:space="preserve">La HU022 no superó las pruebas de rendimiento móvil en QA. Para no aprobar código defectuoso, el PO retiró sus 5 SP del alcance activo del Sprint 6.</t>
  </si>
  <si>
    <t xml:space="preserve">Reasignación de la HU022 como Deuda Técnica para el Sprint 7 y concentración del equipo en cerrar las historias restantes.</t>
  </si>
  <si>
    <t xml:space="preserve">Product Owner / Líder Técnico</t>
  </si>
  <si>
    <t xml:space="preserve">Reasignado</t>
  </si>
  <si>
    <t xml:space="preserve">Corte de energía prolongado e inestabilidad de red al inicio del Sprint. Retrasó el arranque de la HU022 arrastrada durante los Días 1 a 4.</t>
  </si>
  <si>
    <t xml:space="preserve">Uso de conexión móvil de respaldo (hotspots) y refactorización offline con commits locales.</t>
  </si>
  <si>
    <t xml:space="preserve">Impedimento Técnico / IA</t>
  </si>
  <si>
    <t xml:space="preserve">Alta latencia y consumo excesivo de RAM durante las pruebas de inferencia del asistente virtual local (HU027) entre los Días 5 y 8.</t>
  </si>
  <si>
    <t xml:space="preserve">Ajuste en la cuantización del modelo de IA para reducir peso en memoria y optimización de funciones de entrada.</t>
  </si>
  <si>
    <t xml:space="preserve">Incompatibilidad en el pipeline de empaquetado (Build) por librerías de IA en el servidor staging en el Día 9.</t>
  </si>
  <si>
    <t xml:space="preserve">Refactorización del módulo de inferencia asíncrona y aislamiento de scripts en Web Workers para cerrar el sprint en el Día 10.</t>
  </si>
  <si>
    <t xml:space="preserve">Líder Técnico / DBA</t>
  </si>
</sst>
</file>

<file path=xl/styles.xml><?xml version="1.0" encoding="utf-8"?>
<styleSheet xmlns="http://schemas.openxmlformats.org/spreadsheetml/2006/main">
  <numFmts count="7">
    <numFmt numFmtId="164" formatCode="General"/>
    <numFmt numFmtId="165" formatCode="0.00\ %"/>
    <numFmt numFmtId="166" formatCode="@"/>
    <numFmt numFmtId="167" formatCode="dd/mm/yyyy"/>
    <numFmt numFmtId="168" formatCode="0.0"/>
    <numFmt numFmtId="169" formatCode="0.000"/>
    <numFmt numFmtId="170" formatCode="dd/mm/yy"/>
  </numFmts>
  <fonts count="26">
    <font>
      <sz val="11"/>
      <color theme="1"/>
      <name val="Calibri"/>
      <family val="2"/>
      <charset val="1"/>
    </font>
    <font>
      <sz val="10"/>
      <name val="Arial"/>
      <family val="0"/>
    </font>
    <font>
      <sz val="10"/>
      <name val="Arial"/>
      <family val="0"/>
    </font>
    <font>
      <sz val="10"/>
      <name val="Arial"/>
      <family val="0"/>
    </font>
    <font>
      <sz val="11"/>
      <color theme="1"/>
      <name val="Arial"/>
      <family val="2"/>
      <charset val="1"/>
    </font>
    <font>
      <sz val="12"/>
      <color theme="1"/>
      <name val="Arial"/>
      <family val="2"/>
      <charset val="1"/>
    </font>
    <font>
      <b val="true"/>
      <sz val="12"/>
      <color theme="1"/>
      <name val="Arial"/>
      <family val="2"/>
      <charset val="1"/>
    </font>
    <font>
      <b val="true"/>
      <sz val="12"/>
      <color rgb="FF000000"/>
      <name val="Arial"/>
      <family val="2"/>
      <charset val="1"/>
    </font>
    <font>
      <sz val="12"/>
      <color rgb="FF000000"/>
      <name val="Arial"/>
      <family val="2"/>
      <charset val="1"/>
    </font>
    <font>
      <b val="true"/>
      <sz val="14"/>
      <color rgb="FFFFFFFF"/>
      <name val="Arial"/>
      <family val="2"/>
      <charset val="1"/>
    </font>
    <font>
      <b val="true"/>
      <sz val="11"/>
      <color theme="0"/>
      <name val="Arial"/>
      <family val="2"/>
      <charset val="1"/>
    </font>
    <font>
      <b val="true"/>
      <sz val="11"/>
      <color theme="1"/>
      <name val="Arial"/>
      <family val="2"/>
      <charset val="1"/>
    </font>
    <font>
      <sz val="11"/>
      <color rgb="FFFFFFFF"/>
      <name val="Arial"/>
      <family val="2"/>
      <charset val="1"/>
    </font>
    <font>
      <b val="true"/>
      <sz val="11"/>
      <color rgb="FFFFFFFF"/>
      <name val="Arial"/>
      <family val="2"/>
      <charset val="1"/>
    </font>
    <font>
      <i val="true"/>
      <sz val="11"/>
      <color theme="1"/>
      <name val="Arial"/>
      <family val="2"/>
      <charset val="1"/>
    </font>
    <font>
      <sz val="10"/>
      <name val="Arial"/>
      <family val="2"/>
    </font>
    <font>
      <sz val="9"/>
      <color rgb="FF000000"/>
      <name val="Tahoma"/>
      <family val="2"/>
      <charset val="1"/>
    </font>
    <font>
      <sz val="12"/>
      <color rgb="FFFFFFFF"/>
      <name val="Calibri"/>
      <family val="2"/>
      <charset val="1"/>
    </font>
    <font>
      <b val="true"/>
      <sz val="12"/>
      <color rgb="FFFFFFFF"/>
      <name val="Calibri"/>
      <family val="2"/>
      <charset val="1"/>
    </font>
    <font>
      <i val="true"/>
      <sz val="12"/>
      <color theme="1"/>
      <name val="Arial"/>
      <family val="2"/>
      <charset val="1"/>
    </font>
    <font>
      <b val="true"/>
      <sz val="12"/>
      <color theme="0"/>
      <name val="Arial"/>
      <family val="2"/>
      <charset val="1"/>
    </font>
    <font>
      <b val="true"/>
      <sz val="11"/>
      <color theme="1"/>
      <name val="Calibri"/>
      <family val="2"/>
      <charset val="1"/>
    </font>
    <font>
      <sz val="12"/>
      <color theme="0"/>
      <name val="Arial"/>
      <family val="2"/>
      <charset val="1"/>
    </font>
    <font>
      <b val="true"/>
      <sz val="14"/>
      <color rgb="FFD9D9D9"/>
      <name val="Calibri"/>
      <family val="2"/>
    </font>
    <font>
      <sz val="9"/>
      <color rgb="FFBFBFBF"/>
      <name val="Calibri"/>
      <family val="2"/>
    </font>
    <font>
      <sz val="12"/>
      <color theme="1"/>
      <name val="Calibri"/>
      <family val="2"/>
      <charset val="1"/>
    </font>
  </fonts>
  <fills count="23">
    <fill>
      <patternFill patternType="none"/>
    </fill>
    <fill>
      <patternFill patternType="gray125"/>
    </fill>
    <fill>
      <patternFill patternType="solid">
        <fgColor rgb="FF002060"/>
        <bgColor rgb="FF222A35"/>
      </patternFill>
    </fill>
    <fill>
      <patternFill patternType="solid">
        <fgColor theme="4" tint="0.7998"/>
        <bgColor rgb="FFDDEBF7"/>
      </patternFill>
    </fill>
    <fill>
      <patternFill patternType="solid">
        <fgColor theme="0"/>
        <bgColor rgb="FFF2F2F2"/>
      </patternFill>
    </fill>
    <fill>
      <patternFill patternType="solid">
        <fgColor theme="8" tint="0.7998"/>
        <bgColor rgb="FFDDEBF7"/>
      </patternFill>
    </fill>
    <fill>
      <patternFill patternType="solid">
        <fgColor theme="9" tint="-0.25"/>
        <bgColor rgb="FF339966"/>
      </patternFill>
    </fill>
    <fill>
      <patternFill patternType="solid">
        <fgColor rgb="FFF6F9D4"/>
        <bgColor rgb="FFF2F2F2"/>
      </patternFill>
    </fill>
    <fill>
      <patternFill patternType="solid">
        <fgColor rgb="FF2A6099"/>
        <bgColor rgb="FF2F5597"/>
      </patternFill>
    </fill>
    <fill>
      <patternFill patternType="solid">
        <fgColor theme="3" tint="-0.5"/>
        <bgColor rgb="FF203864"/>
      </patternFill>
    </fill>
    <fill>
      <patternFill patternType="solid">
        <fgColor theme="8" tint="-0.25"/>
        <bgColor rgb="FF2A6099"/>
      </patternFill>
    </fill>
    <fill>
      <patternFill patternType="solid">
        <fgColor rgb="FFC55A11"/>
        <bgColor rgb="FFED7D31"/>
      </patternFill>
    </fill>
    <fill>
      <patternFill patternType="solid">
        <fgColor rgb="FFA9D18E"/>
        <bgColor rgb="FFC5E0B4"/>
      </patternFill>
    </fill>
    <fill>
      <patternFill patternType="solid">
        <fgColor rgb="FFCC00FF"/>
        <bgColor rgb="FFFF00FF"/>
      </patternFill>
    </fill>
    <fill>
      <patternFill patternType="solid">
        <fgColor rgb="FFE7E6E6"/>
        <bgColor rgb="FFDEEBF7"/>
      </patternFill>
    </fill>
    <fill>
      <patternFill patternType="solid">
        <fgColor rgb="FF0070C0"/>
        <bgColor rgb="FF008080"/>
      </patternFill>
    </fill>
    <fill>
      <patternFill patternType="solid">
        <fgColor theme="9" tint="0.5998"/>
        <bgColor rgb="FFD9D9D9"/>
      </patternFill>
    </fill>
    <fill>
      <patternFill patternType="solid">
        <fgColor theme="5" tint="0.7998"/>
        <bgColor rgb="FFE7E6E6"/>
      </patternFill>
    </fill>
    <fill>
      <patternFill patternType="solid">
        <fgColor rgb="FFDDEBF7"/>
        <bgColor rgb="FFDEEBF7"/>
      </patternFill>
    </fill>
    <fill>
      <patternFill patternType="solid">
        <fgColor theme="8" tint="-0.5"/>
        <bgColor rgb="FF222A35"/>
      </patternFill>
    </fill>
    <fill>
      <patternFill patternType="solid">
        <fgColor theme="0" tint="-0.15"/>
        <bgColor rgb="FFDAE3F3"/>
      </patternFill>
    </fill>
    <fill>
      <patternFill patternType="solid">
        <fgColor theme="0" tint="-0.05"/>
        <bgColor rgb="FFF6F9D4"/>
      </patternFill>
    </fill>
    <fill>
      <patternFill patternType="solid">
        <fgColor theme="9" tint="0.7998"/>
        <bgColor rgb="FFE7E6E6"/>
      </patternFill>
    </fill>
  </fills>
  <borders count="40">
    <border diagonalUp="false" diagonalDown="false">
      <left/>
      <right/>
      <top/>
      <bottom/>
      <diagonal/>
    </border>
    <border diagonalUp="false" diagonalDown="false">
      <left style="medium"/>
      <right/>
      <top style="medium"/>
      <bottom/>
      <diagonal/>
    </border>
    <border diagonalUp="false" diagonalDown="false">
      <left style="medium"/>
      <right style="medium"/>
      <top style="medium"/>
      <bottom style="medium"/>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right style="medium"/>
      <top/>
      <bottom/>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medium"/>
      <right style="medium"/>
      <top style="medium"/>
      <bottom/>
      <diagonal/>
    </border>
    <border diagonalUp="false" diagonalDown="false">
      <left style="medium"/>
      <right/>
      <top/>
      <bottom/>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right/>
      <top style="thin"/>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right/>
      <top/>
      <bottom style="medium"/>
      <diagonal/>
    </border>
    <border diagonalUp="false" diagonalDown="false">
      <left style="medium"/>
      <right/>
      <top style="medium"/>
      <bottom style="medium"/>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right style="thin"/>
      <top style="thin"/>
      <bottom style="thin"/>
      <diagonal/>
    </border>
    <border diagonalUp="false" diagonalDown="false">
      <left/>
      <right style="thin"/>
      <top style="thin"/>
      <bottom style="medium"/>
      <diagonal/>
    </border>
    <border diagonalUp="false" diagonalDown="false">
      <left style="medium"/>
      <right style="medium"/>
      <top style="thin"/>
      <bottom/>
      <diagonal/>
    </border>
    <border diagonalUp="false" diagonalDown="false">
      <left style="thin"/>
      <right style="medium"/>
      <top style="thin"/>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right style="medium"/>
      <top style="medium"/>
      <bottom style="medium"/>
      <diagonal/>
    </border>
    <border diagonalUp="false" diagonalDown="false">
      <left style="medium"/>
      <right/>
      <top/>
      <bottom style="thin"/>
      <diagonal/>
    </border>
    <border diagonalUp="false" diagonalDown="false">
      <left/>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justify"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6" fillId="0" borderId="0" xfId="0" applyFont="true" applyBorder="false" applyAlignment="true" applyProtection="true">
      <alignment horizontal="justify" vertical="bottom" textRotation="0" wrapText="tru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5"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tru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justify" vertical="bottom" textRotation="0" wrapText="false" indent="0" shrinkToFit="false"/>
      <protection locked="true" hidden="false"/>
    </xf>
    <xf numFmtId="164" fontId="7"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justify"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center" vertical="bottom" textRotation="0" wrapText="false" indent="0" shrinkToFit="false"/>
      <protection locked="true" hidden="false"/>
    </xf>
    <xf numFmtId="164" fontId="8" fillId="0" borderId="2" xfId="0" applyFont="true" applyBorder="true" applyAlignment="true" applyProtection="true">
      <alignment horizontal="justify" vertical="center" textRotation="0" wrapText="true" indent="0" shrinkToFit="false" readingOrder="1"/>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64" fontId="10" fillId="2" borderId="3" xfId="0" applyFont="true" applyBorder="true" applyAlignment="true" applyProtection="true">
      <alignment horizontal="center" vertical="center" textRotation="0" wrapText="true" indent="0" shrinkToFit="false"/>
      <protection locked="true" hidden="false"/>
    </xf>
    <xf numFmtId="164" fontId="11" fillId="3" borderId="4" xfId="0" applyFont="true" applyBorder="true" applyAlignment="true" applyProtection="true">
      <alignment horizontal="general" vertical="center" textRotation="0" wrapText="true" indent="0" shrinkToFit="false"/>
      <protection locked="true" hidden="false"/>
    </xf>
    <xf numFmtId="164" fontId="11" fillId="3" borderId="5" xfId="0" applyFont="true" applyBorder="true" applyAlignment="true" applyProtection="true">
      <alignment horizontal="justify" vertical="center" textRotation="0" wrapText="true" indent="0" shrinkToFit="false"/>
      <protection locked="true" hidden="false"/>
    </xf>
    <xf numFmtId="164" fontId="11" fillId="0" borderId="4" xfId="0" applyFont="true" applyBorder="true" applyAlignment="true" applyProtection="true">
      <alignment horizontal="general" vertical="center" textRotation="0" wrapText="true" indent="0" shrinkToFit="false"/>
      <protection locked="true" hidden="false"/>
    </xf>
    <xf numFmtId="164" fontId="4" fillId="0" borderId="5" xfId="0" applyFont="true" applyBorder="true" applyAlignment="true" applyProtection="true">
      <alignment horizontal="justify" vertical="center" textRotation="0" wrapText="true" indent="0" shrinkToFit="false"/>
      <protection locked="true" hidden="false"/>
    </xf>
    <xf numFmtId="164" fontId="4" fillId="3" borderId="5" xfId="0" applyFont="true" applyBorder="true" applyAlignment="true" applyProtection="true">
      <alignment horizontal="justify" vertical="center" textRotation="0" wrapText="true" indent="0" shrinkToFit="false"/>
      <protection locked="true" hidden="false"/>
    </xf>
    <xf numFmtId="164" fontId="4" fillId="0" borderId="6" xfId="0" applyFont="true" applyBorder="true" applyAlignment="true" applyProtection="true">
      <alignment horizontal="justify" vertical="bottom" textRotation="0" wrapText="true" indent="0" shrinkToFit="false"/>
      <protection locked="true" hidden="false"/>
    </xf>
    <xf numFmtId="164" fontId="11" fillId="0" borderId="7" xfId="0" applyFont="true" applyBorder="true" applyAlignment="true" applyProtection="true">
      <alignment horizontal="general" vertical="center" textRotation="0" wrapText="true" indent="0" shrinkToFit="false"/>
      <protection locked="true" hidden="false"/>
    </xf>
    <xf numFmtId="164" fontId="4" fillId="4" borderId="8" xfId="0" applyFont="true" applyBorder="true" applyAlignment="true" applyProtection="true">
      <alignment horizontal="justify"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10" fillId="2" borderId="9" xfId="0" applyFont="true" applyBorder="true" applyAlignment="true" applyProtection="true">
      <alignment horizontal="center" vertical="center" textRotation="0" wrapText="true" indent="0" shrinkToFit="false"/>
      <protection locked="true" hidden="false"/>
    </xf>
    <xf numFmtId="164" fontId="4" fillId="0" borderId="10" xfId="0" applyFont="true" applyBorder="true" applyAlignment="true" applyProtection="true">
      <alignment horizontal="general" vertical="center" textRotation="0" wrapText="true" indent="0" shrinkToFit="false"/>
      <protection locked="true" hidden="false"/>
    </xf>
    <xf numFmtId="164" fontId="10" fillId="2" borderId="0" xfId="0" applyFont="true" applyBorder="true" applyAlignment="true" applyProtection="true">
      <alignment horizontal="center" vertical="center" textRotation="0" wrapText="true" indent="0" shrinkToFit="false"/>
      <protection locked="true" hidden="false"/>
    </xf>
    <xf numFmtId="164" fontId="10" fillId="2" borderId="6" xfId="0" applyFont="true" applyBorder="true" applyAlignment="true" applyProtection="true">
      <alignment horizontal="center" vertical="center" textRotation="0" wrapText="true" indent="0" shrinkToFit="false"/>
      <protection locked="true" hidden="false"/>
    </xf>
    <xf numFmtId="164" fontId="11" fillId="5" borderId="4" xfId="0" applyFont="true" applyBorder="true" applyAlignment="true" applyProtection="true">
      <alignment horizontal="center" vertical="center" textRotation="90" wrapText="true" indent="0" shrinkToFit="false"/>
      <protection locked="true" hidden="false"/>
    </xf>
    <xf numFmtId="164" fontId="4" fillId="4" borderId="11" xfId="0" applyFont="true" applyBorder="true" applyAlignment="true" applyProtection="true">
      <alignment horizontal="left" vertical="center" textRotation="0" wrapText="true" indent="0" shrinkToFit="false"/>
      <protection locked="true" hidden="false"/>
    </xf>
    <xf numFmtId="164" fontId="4" fillId="4" borderId="11" xfId="0" applyFont="true" applyBorder="true" applyAlignment="true" applyProtection="true">
      <alignment horizontal="general" vertical="center" textRotation="0" wrapText="true" indent="0" shrinkToFit="false"/>
      <protection locked="true" hidden="false"/>
    </xf>
    <xf numFmtId="164" fontId="4" fillId="0" borderId="11" xfId="0" applyFont="true" applyBorder="true" applyAlignment="true" applyProtection="true">
      <alignment horizontal="general" vertical="center" textRotation="0" wrapText="true" indent="0" shrinkToFit="false"/>
      <protection locked="true" hidden="false"/>
    </xf>
    <xf numFmtId="164" fontId="4" fillId="0" borderId="11" xfId="0" applyFont="true" applyBorder="true" applyAlignment="true" applyProtection="true">
      <alignment horizontal="left" vertical="center" textRotation="0" wrapText="true" indent="0" shrinkToFit="false"/>
      <protection locked="true" hidden="false"/>
    </xf>
    <xf numFmtId="165" fontId="4" fillId="0" borderId="5" xfId="0" applyFont="true" applyBorder="true" applyAlignment="true" applyProtection="true">
      <alignment horizontal="center" vertical="center" textRotation="0" wrapText="true" indent="0" shrinkToFit="false"/>
      <protection locked="true" hidden="false"/>
    </xf>
    <xf numFmtId="164" fontId="4" fillId="3" borderId="11" xfId="0" applyFont="true" applyBorder="true" applyAlignment="true" applyProtection="true">
      <alignment horizontal="left" vertical="center" textRotation="0" wrapText="true" indent="0" shrinkToFit="false"/>
      <protection locked="true" hidden="false"/>
    </xf>
    <xf numFmtId="164" fontId="4" fillId="3" borderId="11" xfId="0" applyFont="true" applyBorder="true" applyAlignment="true" applyProtection="true">
      <alignment horizontal="general" vertical="center" textRotation="0" wrapText="true" indent="0" shrinkToFit="false"/>
      <protection locked="true" hidden="false"/>
    </xf>
    <xf numFmtId="165" fontId="4" fillId="3" borderId="5" xfId="0" applyFont="true" applyBorder="true" applyAlignment="true" applyProtection="true">
      <alignment horizontal="center" vertical="center" textRotation="0" wrapText="true" indent="0" shrinkToFit="false"/>
      <protection locked="true" hidden="false"/>
    </xf>
    <xf numFmtId="164" fontId="4" fillId="0" borderId="5" xfId="0" applyFont="true" applyBorder="true" applyAlignment="true" applyProtection="true">
      <alignment horizontal="center" vertical="center" textRotation="0" wrapText="true" indent="0" shrinkToFit="false"/>
      <protection locked="true" hidden="false"/>
    </xf>
    <xf numFmtId="164" fontId="11" fillId="0" borderId="7" xfId="0" applyFont="true" applyBorder="true" applyAlignment="true" applyProtection="true">
      <alignment horizontal="center" vertical="center" textRotation="90" wrapText="true" indent="0" shrinkToFit="false"/>
      <protection locked="true" hidden="false"/>
    </xf>
    <xf numFmtId="164" fontId="4" fillId="3" borderId="5" xfId="0" applyFont="true" applyBorder="true" applyAlignment="true" applyProtection="true">
      <alignment horizontal="center" vertical="center" textRotation="0" wrapText="true" indent="0" shrinkToFit="false"/>
      <protection locked="true" hidden="false"/>
    </xf>
    <xf numFmtId="164" fontId="4" fillId="4" borderId="12" xfId="0" applyFont="true" applyBorder="true" applyAlignment="true" applyProtection="true">
      <alignment horizontal="general" vertical="center" textRotation="0" wrapText="true" indent="0" shrinkToFit="false"/>
      <protection locked="true" hidden="false"/>
    </xf>
    <xf numFmtId="164" fontId="4" fillId="0" borderId="12" xfId="0" applyFont="true" applyBorder="true" applyAlignment="true" applyProtection="true">
      <alignment horizontal="general" vertical="center" textRotation="0" wrapText="true" indent="0" shrinkToFit="false"/>
      <protection locked="true" hidden="false"/>
    </xf>
    <xf numFmtId="164" fontId="4" fillId="0" borderId="8" xfId="0" applyFont="true" applyBorder="true" applyAlignment="true" applyProtection="true">
      <alignment horizontal="center" vertical="center" textRotation="0" wrapText="true" indent="0" shrinkToFit="false"/>
      <protection locked="true" hidden="false"/>
    </xf>
    <xf numFmtId="166" fontId="4" fillId="0" borderId="0" xfId="0" applyFont="true" applyBorder="false" applyAlignment="true" applyProtection="true">
      <alignment horizontal="center" vertical="center" textRotation="0" wrapText="true" indent="0" shrinkToFit="false"/>
      <protection locked="true" hidden="false"/>
    </xf>
    <xf numFmtId="166" fontId="4" fillId="0" borderId="0" xfId="0" applyFont="true" applyBorder="false" applyAlignment="true" applyProtection="true">
      <alignment horizontal="general" vertical="center" textRotation="0" wrapText="true" indent="0" shrinkToFit="false"/>
      <protection locked="true" hidden="false"/>
    </xf>
    <xf numFmtId="166" fontId="4" fillId="0" borderId="0" xfId="0" applyFont="true" applyBorder="false" applyAlignment="true" applyProtection="true">
      <alignment horizontal="left"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6" fontId="10" fillId="6" borderId="3" xfId="0" applyFont="true" applyBorder="true" applyAlignment="true" applyProtection="true">
      <alignment horizontal="center" vertical="center" textRotation="0" wrapText="true" indent="0" shrinkToFit="false"/>
      <protection locked="true" hidden="false"/>
    </xf>
    <xf numFmtId="166" fontId="10" fillId="2" borderId="13" xfId="0" applyFont="true" applyBorder="true" applyAlignment="true" applyProtection="true">
      <alignment horizontal="center" vertical="center" textRotation="0" wrapText="true" indent="0" shrinkToFit="false"/>
      <protection locked="true" hidden="false"/>
    </xf>
    <xf numFmtId="166" fontId="10" fillId="2" borderId="14" xfId="0" applyFont="true" applyBorder="true" applyAlignment="true" applyProtection="true">
      <alignment horizontal="center" vertical="center" textRotation="0" wrapText="true" indent="0" shrinkToFit="false"/>
      <protection locked="true" hidden="false"/>
    </xf>
    <xf numFmtId="166" fontId="10" fillId="2" borderId="15" xfId="0" applyFont="true" applyBorder="true" applyAlignment="true" applyProtection="true">
      <alignment horizontal="center" vertical="center" textRotation="0" wrapText="true" indent="0" shrinkToFit="false"/>
      <protection locked="true" hidden="false"/>
    </xf>
    <xf numFmtId="166" fontId="10" fillId="6" borderId="7" xfId="0" applyFont="true" applyBorder="true" applyAlignment="true" applyProtection="true">
      <alignment horizontal="center" vertical="center" textRotation="0" wrapText="true" indent="0" shrinkToFit="false"/>
      <protection locked="true" hidden="false"/>
    </xf>
    <xf numFmtId="166" fontId="10" fillId="6" borderId="12" xfId="0" applyFont="true" applyBorder="true" applyAlignment="true" applyProtection="true">
      <alignment horizontal="center" vertical="center" textRotation="0" wrapText="true" indent="0" shrinkToFit="false"/>
      <protection locked="true" hidden="false"/>
    </xf>
    <xf numFmtId="166" fontId="10" fillId="6" borderId="12" xfId="0" applyFont="true" applyBorder="true" applyAlignment="true" applyProtection="true">
      <alignment horizontal="left" vertical="center" textRotation="0" wrapText="true" indent="0" shrinkToFit="false"/>
      <protection locked="true" hidden="false"/>
    </xf>
    <xf numFmtId="166" fontId="10" fillId="6" borderId="8" xfId="0" applyFont="true" applyBorder="true" applyAlignment="true" applyProtection="true">
      <alignment horizontal="center" vertical="center" textRotation="0" wrapText="true" indent="0" shrinkToFit="false"/>
      <protection locked="true" hidden="false"/>
    </xf>
    <xf numFmtId="166" fontId="10" fillId="2" borderId="16" xfId="0" applyFont="true" applyBorder="true" applyAlignment="true" applyProtection="true">
      <alignment horizontal="center" vertical="center" textRotation="0" wrapText="true" indent="0" shrinkToFit="false"/>
      <protection locked="true" hidden="false"/>
    </xf>
    <xf numFmtId="166" fontId="4" fillId="7" borderId="11" xfId="0" applyFont="true" applyBorder="true" applyAlignment="true" applyProtection="true">
      <alignment horizontal="center" vertical="center" textRotation="0" wrapText="true" indent="0" shrinkToFit="false"/>
      <protection locked="true" hidden="false"/>
    </xf>
    <xf numFmtId="166" fontId="4" fillId="7" borderId="11" xfId="0" applyFont="true" applyBorder="true" applyAlignment="true" applyProtection="true">
      <alignment horizontal="general" vertical="center" textRotation="0" wrapText="true" indent="0" shrinkToFit="false"/>
      <protection locked="true" hidden="false"/>
    </xf>
    <xf numFmtId="166" fontId="4" fillId="7" borderId="11" xfId="0" applyFont="true" applyBorder="true" applyAlignment="true" applyProtection="true">
      <alignment horizontal="left" vertical="center" textRotation="0" wrapText="true" indent="0" shrinkToFit="false"/>
      <protection locked="true" hidden="false"/>
    </xf>
    <xf numFmtId="166" fontId="4" fillId="7" borderId="0" xfId="0" applyFont="true" applyBorder="false" applyAlignment="true" applyProtection="true">
      <alignment horizontal="general" vertical="center" textRotation="0" wrapText="true" indent="0" shrinkToFit="false"/>
      <protection locked="true" hidden="false"/>
    </xf>
    <xf numFmtId="166" fontId="4" fillId="0" borderId="11" xfId="0" applyFont="true" applyBorder="true" applyAlignment="true" applyProtection="true">
      <alignment horizontal="center" vertical="center" textRotation="0" wrapText="true" indent="0" shrinkToFit="false"/>
      <protection locked="true" hidden="false"/>
    </xf>
    <xf numFmtId="166" fontId="4" fillId="0" borderId="11" xfId="0" applyFont="true" applyBorder="true" applyAlignment="true" applyProtection="true">
      <alignment horizontal="general" vertical="center" textRotation="0" wrapText="true" indent="0" shrinkToFit="false"/>
      <protection locked="true" hidden="false"/>
    </xf>
    <xf numFmtId="166" fontId="4" fillId="0" borderId="11" xfId="0" applyFont="true" applyBorder="true" applyAlignment="true" applyProtection="true">
      <alignment horizontal="left" vertical="center" textRotation="0" wrapText="true" indent="0" shrinkToFit="false"/>
      <protection locked="true" hidden="false"/>
    </xf>
    <xf numFmtId="166" fontId="4" fillId="3" borderId="11" xfId="0" applyFont="true" applyBorder="true" applyAlignment="true" applyProtection="true">
      <alignment horizontal="center" vertical="center" textRotation="0" wrapText="true" indent="0" shrinkToFit="false"/>
      <protection locked="true" hidden="false"/>
    </xf>
    <xf numFmtId="166" fontId="4" fillId="3" borderId="11" xfId="0" applyFont="true" applyBorder="true" applyAlignment="true" applyProtection="true">
      <alignment horizontal="general" vertical="center" textRotation="0" wrapText="true" indent="0" shrinkToFit="false"/>
      <protection locked="true" hidden="false"/>
    </xf>
    <xf numFmtId="166" fontId="4" fillId="3" borderId="11" xfId="0" applyFont="true" applyBorder="true" applyAlignment="true" applyProtection="true">
      <alignment horizontal="left" vertical="center" textRotation="0" wrapText="true" indent="0" shrinkToFit="false"/>
      <protection locked="true" hidden="false"/>
    </xf>
    <xf numFmtId="166" fontId="4" fillId="7" borderId="0" xfId="0" applyFont="true" applyBorder="false" applyAlignment="true" applyProtection="true">
      <alignment horizontal="left" vertical="center" textRotation="0" wrapText="true" indent="0" shrinkToFit="false"/>
      <protection locked="true" hidden="false"/>
    </xf>
    <xf numFmtId="166" fontId="4" fillId="0" borderId="0" xfId="0" applyFont="true" applyBorder="false" applyAlignment="true" applyProtection="true">
      <alignment horizontal="general" vertical="center" textRotation="0" wrapText="false" indent="0" shrinkToFit="false"/>
      <protection locked="true" hidden="false"/>
    </xf>
    <xf numFmtId="166" fontId="4" fillId="3" borderId="0" xfId="0" applyFont="true" applyBorder="false" applyAlignment="true" applyProtection="true">
      <alignment horizontal="general" vertical="center" textRotation="0" wrapText="true" indent="0" shrinkToFit="false"/>
      <protection locked="true" hidden="false"/>
    </xf>
    <xf numFmtId="166" fontId="4" fillId="7" borderId="0" xfId="0" applyFont="true" applyBorder="false" applyAlignment="true" applyProtection="true">
      <alignment horizontal="general" vertical="center" textRotation="0" wrapText="false" indent="0" shrinkToFit="false"/>
      <protection locked="true" hidden="false"/>
    </xf>
    <xf numFmtId="166" fontId="12" fillId="8" borderId="0" xfId="0" applyFont="true" applyBorder="false" applyAlignment="true" applyProtection="true">
      <alignment horizontal="general" vertical="center" textRotation="0" wrapText="true" indent="0" shrinkToFit="false"/>
      <protection locked="true" hidden="false"/>
    </xf>
    <xf numFmtId="166" fontId="12" fillId="8" borderId="11" xfId="0" applyFont="true" applyBorder="true" applyAlignment="true" applyProtection="true">
      <alignment horizontal="center" vertical="center" textRotation="0" wrapText="true" indent="0" shrinkToFit="false"/>
      <protection locked="true" hidden="false"/>
    </xf>
    <xf numFmtId="166" fontId="12" fillId="8" borderId="11" xfId="0" applyFont="true" applyBorder="true" applyAlignment="true" applyProtection="true">
      <alignment horizontal="general" vertical="center" textRotation="0" wrapText="true" indent="0" shrinkToFit="false"/>
      <protection locked="true" hidden="false"/>
    </xf>
    <xf numFmtId="166" fontId="12" fillId="8" borderId="11" xfId="0" applyFont="true" applyBorder="true" applyAlignment="true" applyProtection="true">
      <alignment horizontal="left" vertical="center" textRotation="0" wrapText="true" indent="0" shrinkToFit="false"/>
      <protection locked="true" hidden="false"/>
    </xf>
    <xf numFmtId="164" fontId="13" fillId="8" borderId="11" xfId="0" applyFont="true" applyBorder="true" applyAlignment="true" applyProtection="true">
      <alignment horizontal="general" vertical="center" textRotation="0" wrapText="true" indent="0" shrinkToFit="false"/>
      <protection locked="true" hidden="false"/>
    </xf>
    <xf numFmtId="164" fontId="13" fillId="8" borderId="0" xfId="0" applyFont="true" applyBorder="false" applyAlignment="true" applyProtection="true">
      <alignment horizontal="general" vertical="center" textRotation="0" wrapText="true" indent="0" shrinkToFit="false"/>
      <protection locked="true" hidden="false"/>
    </xf>
    <xf numFmtId="164" fontId="12" fillId="0"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17" xfId="0" applyFont="true" applyBorder="true" applyAlignment="true" applyProtection="true">
      <alignment horizontal="general" vertical="bottom" textRotation="0" wrapText="false" indent="0" shrinkToFit="false"/>
      <protection locked="true" hidden="false"/>
    </xf>
    <xf numFmtId="164" fontId="5" fillId="0" borderId="18" xfId="0" applyFont="true" applyBorder="true" applyAlignment="true" applyProtection="true">
      <alignment horizontal="general" vertical="bottom" textRotation="0" wrapText="false" indent="0" shrinkToFit="false"/>
      <protection locked="true" hidden="false"/>
    </xf>
    <xf numFmtId="164" fontId="5" fillId="0" borderId="10" xfId="0" applyFont="true" applyBorder="true" applyAlignment="true" applyProtection="true">
      <alignment horizontal="general" vertical="bottom" textRotation="0" wrapText="false" indent="0" shrinkToFit="false"/>
      <protection locked="true" hidden="false"/>
    </xf>
    <xf numFmtId="164" fontId="17" fillId="9" borderId="2"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5" fillId="0" borderId="6" xfId="0" applyFont="true" applyBorder="true" applyAlignment="true" applyProtection="true">
      <alignment horizontal="general" vertical="bottom" textRotation="0" wrapText="false" indent="0" shrinkToFit="false"/>
      <protection locked="true" hidden="false"/>
    </xf>
    <xf numFmtId="164" fontId="19" fillId="0" borderId="10" xfId="0" applyFont="true" applyBorder="true" applyAlignment="true" applyProtection="true">
      <alignment horizontal="right" vertical="bottom" textRotation="0" wrapText="false" indent="0" shrinkToFit="false"/>
      <protection locked="true" hidden="false"/>
    </xf>
    <xf numFmtId="164" fontId="5" fillId="0" borderId="9" xfId="0" applyFont="true" applyBorder="true" applyAlignment="true" applyProtection="true">
      <alignment horizontal="center" vertical="bottom" textRotation="0" wrapText="false" indent="0" shrinkToFit="false"/>
      <protection locked="true" hidden="false"/>
    </xf>
    <xf numFmtId="164" fontId="5" fillId="0" borderId="9" xfId="0" applyFont="true" applyBorder="true" applyAlignment="true" applyProtection="true">
      <alignment horizontal="center" vertical="center" textRotation="0" wrapText="false" indent="0" shrinkToFit="false"/>
      <protection locked="true" hidden="false"/>
    </xf>
    <xf numFmtId="164" fontId="5" fillId="10" borderId="19" xfId="0" applyFont="true" applyBorder="true" applyAlignment="true" applyProtection="true">
      <alignment horizontal="general" vertical="bottom" textRotation="0" wrapText="false" indent="0" shrinkToFit="false"/>
      <protection locked="true" hidden="false"/>
    </xf>
    <xf numFmtId="164" fontId="5" fillId="10" borderId="20" xfId="0" applyFont="true" applyBorder="true" applyAlignment="true" applyProtection="true">
      <alignment horizontal="general" vertical="bottom" textRotation="0" wrapText="false" indent="0" shrinkToFit="false"/>
      <protection locked="true" hidden="false"/>
    </xf>
    <xf numFmtId="164" fontId="5" fillId="11" borderId="19" xfId="0" applyFont="true" applyBorder="true" applyAlignment="true" applyProtection="true">
      <alignment horizontal="general" vertical="bottom" textRotation="0" wrapText="false" indent="0" shrinkToFit="false"/>
      <protection locked="true" hidden="false"/>
    </xf>
    <xf numFmtId="164" fontId="5" fillId="11" borderId="20" xfId="0" applyFont="true" applyBorder="true" applyAlignment="true" applyProtection="true">
      <alignment horizontal="general" vertical="bottom" textRotation="0" wrapText="false" indent="0" shrinkToFit="false"/>
      <protection locked="true" hidden="false"/>
    </xf>
    <xf numFmtId="164" fontId="5" fillId="12" borderId="19" xfId="0" applyFont="true" applyBorder="true" applyAlignment="true" applyProtection="true">
      <alignment horizontal="general" vertical="bottom" textRotation="0" wrapText="false" indent="0" shrinkToFit="false"/>
      <protection locked="true" hidden="false"/>
    </xf>
    <xf numFmtId="164" fontId="5" fillId="12" borderId="20" xfId="0" applyFont="true" applyBorder="true" applyAlignment="true" applyProtection="true">
      <alignment horizontal="general" vertical="bottom" textRotation="0" wrapText="false" indent="0" shrinkToFit="false"/>
      <protection locked="true" hidden="false"/>
    </xf>
    <xf numFmtId="164" fontId="5" fillId="13" borderId="19" xfId="0" applyFont="true" applyBorder="true" applyAlignment="true" applyProtection="true">
      <alignment horizontal="general" vertical="bottom" textRotation="0" wrapText="false" indent="0" shrinkToFit="false"/>
      <protection locked="true" hidden="false"/>
    </xf>
    <xf numFmtId="164" fontId="5" fillId="13" borderId="20" xfId="0" applyFont="true" applyBorder="true" applyAlignment="true" applyProtection="true">
      <alignment horizontal="general" vertical="bottom" textRotation="0" wrapText="false" indent="0" shrinkToFit="false"/>
      <protection locked="true" hidden="false"/>
    </xf>
    <xf numFmtId="164" fontId="5" fillId="14" borderId="19" xfId="0" applyFont="true" applyBorder="true" applyAlignment="true" applyProtection="true">
      <alignment horizontal="center" vertical="bottom" textRotation="0" wrapText="false" indent="0" shrinkToFit="false"/>
      <protection locked="true" hidden="false"/>
    </xf>
    <xf numFmtId="164" fontId="5" fillId="14" borderId="20" xfId="0" applyFont="true" applyBorder="true" applyAlignment="true" applyProtection="true">
      <alignment horizontal="center" vertical="bottom" textRotation="0" wrapText="false" indent="0" shrinkToFit="false"/>
      <protection locked="true" hidden="false"/>
    </xf>
    <xf numFmtId="164" fontId="5" fillId="0" borderId="21" xfId="0" applyFont="true" applyBorder="true" applyAlignment="true" applyProtection="true">
      <alignment horizontal="center" vertical="bottom" textRotation="0" wrapText="false" indent="0" shrinkToFit="false"/>
      <protection locked="true" hidden="false"/>
    </xf>
    <xf numFmtId="164" fontId="5" fillId="0" borderId="21" xfId="0" applyFont="true" applyBorder="true" applyAlignment="true" applyProtection="true">
      <alignment horizontal="left" vertical="center" textRotation="0" wrapText="false" indent="0" shrinkToFit="false"/>
      <protection locked="true" hidden="false"/>
    </xf>
    <xf numFmtId="164" fontId="5" fillId="0" borderId="22" xfId="0" applyFont="true" applyBorder="true" applyAlignment="true" applyProtection="true">
      <alignment horizontal="center" vertical="bottom" textRotation="0" wrapText="false" indent="0" shrinkToFit="false"/>
      <protection locked="true" hidden="false"/>
    </xf>
    <xf numFmtId="164" fontId="17" fillId="9" borderId="2" xfId="0" applyFont="true" applyBorder="true" applyAlignment="true" applyProtection="true">
      <alignment horizontal="center" vertical="bottom" textRotation="0" wrapText="false" indent="0" shrinkToFit="false"/>
      <protection locked="true" hidden="false"/>
    </xf>
    <xf numFmtId="164" fontId="5" fillId="15" borderId="19" xfId="0" applyFont="true" applyBorder="true" applyAlignment="true" applyProtection="true">
      <alignment horizontal="general" vertical="bottom" textRotation="0" wrapText="false" indent="0" shrinkToFit="false"/>
      <protection locked="true" hidden="false"/>
    </xf>
    <xf numFmtId="164" fontId="5" fillId="15" borderId="22" xfId="0" applyFont="true" applyBorder="true" applyAlignment="true" applyProtection="true">
      <alignment horizontal="general" vertical="bottom" textRotation="0" wrapText="false" indent="0" shrinkToFit="false"/>
      <protection locked="true" hidden="false"/>
    </xf>
    <xf numFmtId="164" fontId="5" fillId="15" borderId="20" xfId="0" applyFont="true" applyBorder="true" applyAlignment="true" applyProtection="true">
      <alignment horizontal="general" vertical="bottom" textRotation="0" wrapText="false" indent="0" shrinkToFit="false"/>
      <protection locked="true" hidden="false"/>
    </xf>
    <xf numFmtId="164" fontId="5" fillId="11" borderId="22" xfId="0" applyFont="true" applyBorder="true" applyAlignment="true" applyProtection="true">
      <alignment horizontal="general" vertical="bottom" textRotation="0" wrapText="false" indent="0" shrinkToFit="false"/>
      <protection locked="true" hidden="false"/>
    </xf>
    <xf numFmtId="164" fontId="5" fillId="14" borderId="22" xfId="0" applyFont="true" applyBorder="true" applyAlignment="true" applyProtection="true">
      <alignment horizontal="general" vertical="bottom" textRotation="0" wrapText="false" indent="0" shrinkToFit="false"/>
      <protection locked="true" hidden="false"/>
    </xf>
    <xf numFmtId="164" fontId="5" fillId="14" borderId="2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right" vertical="center" textRotation="0" wrapText="false" indent="0" shrinkToFit="false"/>
      <protection locked="true" hidden="false"/>
    </xf>
    <xf numFmtId="164" fontId="5" fillId="0" borderId="21" xfId="0" applyFont="true" applyBorder="true" applyAlignment="true" applyProtection="true">
      <alignment horizontal="left" vertical="bottom" textRotation="0" wrapText="false" indent="0" shrinkToFit="false"/>
      <protection locked="true" hidden="false"/>
    </xf>
    <xf numFmtId="164" fontId="5" fillId="0" borderId="21" xfId="0" applyFont="true" applyBorder="true" applyAlignment="true" applyProtection="true">
      <alignment horizontal="right" vertical="center" textRotation="0" wrapText="false" indent="0" shrinkToFit="false"/>
      <protection locked="true" hidden="false"/>
    </xf>
    <xf numFmtId="164" fontId="5" fillId="0" borderId="0" xfId="0" applyFont="true" applyBorder="true" applyAlignment="true" applyProtection="true">
      <alignment horizontal="left" vertical="bottom" textRotation="0" wrapText="false" indent="0" shrinkToFit="false"/>
      <protection locked="true" hidden="false"/>
    </xf>
    <xf numFmtId="164" fontId="17" fillId="9" borderId="23" xfId="0" applyFont="true" applyBorder="true" applyAlignment="true" applyProtection="true">
      <alignment horizontal="center" vertical="bottom" textRotation="0" wrapText="false" indent="0" shrinkToFit="false"/>
      <protection locked="true" hidden="false"/>
    </xf>
    <xf numFmtId="164" fontId="5" fillId="16" borderId="20" xfId="0" applyFont="true" applyBorder="true" applyAlignment="true" applyProtection="true">
      <alignment horizontal="general" vertical="bottom" textRotation="0" wrapText="false" indent="0" shrinkToFit="false"/>
      <protection locked="true" hidden="false"/>
    </xf>
    <xf numFmtId="164" fontId="19" fillId="0" borderId="19" xfId="0" applyFont="true" applyBorder="true" applyAlignment="true" applyProtection="true">
      <alignment horizontal="right" vertical="bottom" textRotation="0" wrapText="false" indent="0" shrinkToFit="false"/>
      <protection locked="true" hidden="false"/>
    </xf>
    <xf numFmtId="164" fontId="5" fillId="0" borderId="22" xfId="0" applyFont="true" applyBorder="true" applyAlignment="true" applyProtection="true">
      <alignment horizontal="general" vertical="bottom" textRotation="0" wrapText="false" indent="0" shrinkToFit="false"/>
      <protection locked="true" hidden="false"/>
    </xf>
    <xf numFmtId="164" fontId="5" fillId="0" borderId="22" xfId="0" applyFont="true" applyBorder="true" applyAlignment="true" applyProtection="true">
      <alignment horizontal="center" vertical="center" textRotation="0" wrapText="false" indent="0" shrinkToFit="false"/>
      <protection locked="true" hidden="false"/>
    </xf>
    <xf numFmtId="164" fontId="5" fillId="0" borderId="21" xfId="0" applyFont="true" applyBorder="true" applyAlignment="true" applyProtection="true">
      <alignment horizontal="center" vertical="center" textRotation="0" wrapText="false" indent="0" shrinkToFit="false"/>
      <protection locked="true" hidden="false"/>
    </xf>
    <xf numFmtId="164" fontId="5" fillId="0" borderId="22" xfId="0" applyFont="true" applyBorder="true" applyAlignment="true" applyProtection="true">
      <alignment horizontal="left" vertical="bottom" textRotation="0" wrapText="false" indent="0" shrinkToFit="false"/>
      <protection locked="true" hidden="false"/>
    </xf>
    <xf numFmtId="164" fontId="5" fillId="0" borderId="20" xfId="0" applyFont="true" applyBorder="true" applyAlignment="true" applyProtection="true">
      <alignment horizontal="general" vertical="bottom" textRotation="0" wrapText="false" indent="0" shrinkToFit="false"/>
      <protection locked="true" hidden="false"/>
    </xf>
    <xf numFmtId="164" fontId="20" fillId="2" borderId="0" xfId="0" applyFont="true" applyBorder="true" applyAlignment="true" applyProtection="true">
      <alignment horizontal="center" vertical="center" textRotation="0" wrapText="true" indent="0" shrinkToFit="false"/>
      <protection locked="true" hidden="false"/>
    </xf>
    <xf numFmtId="164" fontId="5" fillId="0" borderId="2" xfId="0" applyFont="true" applyBorder="true" applyAlignment="true" applyProtection="true">
      <alignment horizontal="justify" vertical="center" textRotation="0" wrapText="false" indent="0" shrinkToFit="false"/>
      <protection locked="true" hidden="false"/>
    </xf>
    <xf numFmtId="164" fontId="5" fillId="0" borderId="3" xfId="0" applyFont="true" applyBorder="true" applyAlignment="true" applyProtection="true">
      <alignment horizontal="justify" vertical="center" textRotation="0" wrapText="false" indent="0" shrinkToFit="false"/>
      <protection locked="true" hidden="false"/>
    </xf>
    <xf numFmtId="164" fontId="5" fillId="0" borderId="24" xfId="0" applyFont="true" applyBorder="true" applyAlignment="true" applyProtection="true">
      <alignment horizontal="justify" vertical="center" textRotation="0" wrapText="false" indent="0" shrinkToFit="false"/>
      <protection locked="true" hidden="false"/>
    </xf>
    <xf numFmtId="164" fontId="5" fillId="0" borderId="25" xfId="0" applyFont="true" applyBorder="true" applyAlignment="true" applyProtection="true">
      <alignment horizontal="justify" vertical="center" textRotation="0" wrapText="false" indent="0" shrinkToFit="false"/>
      <protection locked="true" hidden="false"/>
    </xf>
    <xf numFmtId="164" fontId="7" fillId="0" borderId="2" xfId="0" applyFont="true" applyBorder="true" applyAlignment="true" applyProtection="true">
      <alignment horizontal="justify" vertical="center" textRotation="0" wrapText="false" indent="0" shrinkToFit="false"/>
      <protection locked="true" hidden="false"/>
    </xf>
    <xf numFmtId="164" fontId="20" fillId="2" borderId="2" xfId="0" applyFont="true" applyBorder="true" applyAlignment="true" applyProtection="true">
      <alignment horizontal="center" vertical="center" textRotation="0" wrapText="false" indent="0" shrinkToFit="false"/>
      <protection locked="true" hidden="false"/>
    </xf>
    <xf numFmtId="164" fontId="5" fillId="0" borderId="9" xfId="0" applyFont="true" applyBorder="true" applyAlignment="true" applyProtection="true">
      <alignment horizontal="justify" vertical="center" textRotation="0" wrapText="true" indent="0" shrinkToFit="false"/>
      <protection locked="true" hidden="false"/>
    </xf>
    <xf numFmtId="164" fontId="7" fillId="0" borderId="26" xfId="0" applyFont="true" applyBorder="true" applyAlignment="true" applyProtection="true">
      <alignment horizontal="justify" vertical="center" textRotation="0" wrapText="true" indent="0" shrinkToFit="false"/>
      <protection locked="true" hidden="false"/>
    </xf>
    <xf numFmtId="164" fontId="7" fillId="0" borderId="27" xfId="0" applyFont="true" applyBorder="true" applyAlignment="true" applyProtection="true">
      <alignment horizontal="justify"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0" fillId="2" borderId="19" xfId="0" applyFont="true" applyBorder="true" applyAlignment="true" applyProtection="true">
      <alignment horizontal="center" vertical="center" textRotation="0" wrapText="true" indent="0" shrinkToFit="false"/>
      <protection locked="true" hidden="false"/>
    </xf>
    <xf numFmtId="164" fontId="11" fillId="3" borderId="2" xfId="0" applyFont="true" applyBorder="true" applyAlignment="true" applyProtection="true">
      <alignment horizontal="center" vertical="center" textRotation="90" wrapText="true" indent="0" shrinkToFit="false"/>
      <protection locked="true" hidden="false"/>
    </xf>
    <xf numFmtId="164" fontId="10" fillId="2" borderId="28" xfId="0" applyFont="true" applyBorder="true" applyAlignment="true" applyProtection="true">
      <alignment horizontal="center" vertical="center" textRotation="0" wrapText="true" indent="0" shrinkToFit="false"/>
      <protection locked="true" hidden="false"/>
    </xf>
    <xf numFmtId="164" fontId="10" fillId="2" borderId="29" xfId="0" applyFont="true" applyBorder="true" applyAlignment="true" applyProtection="true">
      <alignment horizontal="center" vertical="center" textRotation="0" wrapText="true" indent="0" shrinkToFit="false"/>
      <protection locked="true" hidden="false"/>
    </xf>
    <xf numFmtId="164" fontId="11" fillId="17" borderId="24" xfId="0" applyFont="true" applyBorder="true" applyAlignment="true" applyProtection="true">
      <alignment horizontal="center" vertical="center" textRotation="0" wrapText="true" indent="0" shrinkToFit="false"/>
      <protection locked="true" hidden="false"/>
    </xf>
    <xf numFmtId="164" fontId="4" fillId="4" borderId="30" xfId="0" applyFont="true" applyBorder="true" applyAlignment="true" applyProtection="true">
      <alignment horizontal="center" vertical="center" textRotation="0" wrapText="true" indent="0" shrinkToFit="false"/>
      <protection locked="true" hidden="false"/>
    </xf>
    <xf numFmtId="164" fontId="4" fillId="4" borderId="5" xfId="0" applyFont="true" applyBorder="true" applyAlignment="true" applyProtection="true">
      <alignment horizontal="center" vertical="center" textRotation="0" wrapText="true" indent="0" shrinkToFit="false"/>
      <protection locked="true" hidden="false"/>
    </xf>
    <xf numFmtId="164" fontId="4" fillId="0" borderId="27" xfId="0" applyFont="true" applyBorder="true" applyAlignment="true" applyProtection="true">
      <alignment horizontal="justify" vertical="center" textRotation="0" wrapText="true" indent="0" shrinkToFit="false"/>
      <protection locked="true" hidden="false"/>
    </xf>
    <xf numFmtId="164" fontId="4" fillId="3" borderId="3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11" fillId="3" borderId="24" xfId="0" applyFont="true" applyBorder="true" applyAlignment="true" applyProtection="true">
      <alignment horizontal="center" vertical="center" textRotation="0" wrapText="true" indent="0" shrinkToFit="false"/>
      <protection locked="true" hidden="false"/>
    </xf>
    <xf numFmtId="164" fontId="11" fillId="4" borderId="24" xfId="0" applyFont="true" applyBorder="true" applyAlignment="true" applyProtection="true">
      <alignment horizontal="center" vertical="center" textRotation="0" wrapText="true" indent="0" shrinkToFit="false"/>
      <protection locked="true" hidden="false"/>
    </xf>
    <xf numFmtId="164" fontId="11" fillId="4" borderId="25" xfId="0" applyFont="true" applyBorder="true" applyAlignment="true" applyProtection="true">
      <alignment horizontal="center" vertical="center" textRotation="0" wrapText="true" indent="0" shrinkToFit="false"/>
      <protection locked="true" hidden="false"/>
    </xf>
    <xf numFmtId="164" fontId="4" fillId="4" borderId="31" xfId="0" applyFont="true" applyBorder="true" applyAlignment="true" applyProtection="true">
      <alignment horizontal="center" vertical="center" textRotation="0" wrapText="true" indent="0" shrinkToFit="false"/>
      <protection locked="true" hidden="false"/>
    </xf>
    <xf numFmtId="164" fontId="4" fillId="4" borderId="8" xfId="0" applyFont="true" applyBorder="true" applyAlignment="true" applyProtection="true">
      <alignment horizontal="center" vertical="center" textRotation="0" wrapText="true" indent="0" shrinkToFit="false"/>
      <protection locked="true" hidden="false"/>
    </xf>
    <xf numFmtId="164" fontId="21" fillId="3" borderId="2" xfId="0" applyFont="true" applyBorder="true" applyAlignment="true" applyProtection="true">
      <alignment horizontal="center" vertical="center" textRotation="90" wrapText="true" indent="0" shrinkToFit="false"/>
      <protection locked="true" hidden="false"/>
    </xf>
    <xf numFmtId="164" fontId="4" fillId="0" borderId="27" xfId="0" applyFont="true" applyBorder="true" applyAlignment="true" applyProtection="true">
      <alignment horizontal="left" vertical="top" textRotation="0" wrapText="true" indent="0" shrinkToFit="false"/>
      <protection locked="true" hidden="false"/>
    </xf>
    <xf numFmtId="164" fontId="4" fillId="4" borderId="8" xfId="0" applyFont="true" applyBorder="true" applyAlignment="true" applyProtection="true">
      <alignment horizontal="center" vertical="bottom" textRotation="0" wrapText="true" indent="0" shrinkToFit="false"/>
      <protection locked="true" hidden="false"/>
    </xf>
    <xf numFmtId="164" fontId="4" fillId="0" borderId="26" xfId="0" applyFont="true" applyBorder="true" applyAlignment="true" applyProtection="true">
      <alignment horizontal="left" vertical="top" textRotation="0" wrapText="true" indent="0" shrinkToFit="false"/>
      <protection locked="true" hidden="false"/>
    </xf>
    <xf numFmtId="164" fontId="11" fillId="4" borderId="32" xfId="0" applyFont="true" applyBorder="true" applyAlignment="true" applyProtection="true">
      <alignment horizontal="center" vertical="center" textRotation="0" wrapText="true" indent="0" shrinkToFit="false"/>
      <protection locked="true" hidden="false"/>
    </xf>
    <xf numFmtId="164" fontId="4" fillId="4" borderId="16" xfId="0" applyFont="true" applyBorder="true" applyAlignment="true" applyProtection="true">
      <alignment horizontal="center" vertical="center" textRotation="0" wrapText="true" indent="0" shrinkToFit="false"/>
      <protection locked="true" hidden="false"/>
    </xf>
    <xf numFmtId="164" fontId="4" fillId="4" borderId="33" xfId="0" applyFont="true" applyBorder="true" applyAlignment="true" applyProtection="true">
      <alignment horizontal="center" vertical="bottom" textRotation="0" wrapText="true" indent="0" shrinkToFit="false"/>
      <protection locked="true" hidden="false"/>
    </xf>
    <xf numFmtId="164" fontId="20" fillId="2" borderId="22" xfId="0" applyFont="true" applyBorder="true" applyAlignment="true" applyProtection="true">
      <alignment horizontal="center" vertical="bottom" textRotation="0" wrapText="true" indent="0" shrinkToFit="false"/>
      <protection locked="true" hidden="false"/>
    </xf>
    <xf numFmtId="164" fontId="20" fillId="2" borderId="1" xfId="0" applyFont="true" applyBorder="true" applyAlignment="true" applyProtection="true">
      <alignment horizontal="center" vertical="center" textRotation="0" wrapText="true" indent="0" shrinkToFit="false"/>
      <protection locked="true" hidden="false"/>
    </xf>
    <xf numFmtId="164" fontId="22" fillId="2" borderId="17" xfId="0" applyFont="true" applyBorder="true" applyAlignment="true" applyProtection="true">
      <alignment horizontal="center" vertical="center" textRotation="0" wrapText="true" indent="0" shrinkToFit="false"/>
      <protection locked="true" hidden="false"/>
    </xf>
    <xf numFmtId="164" fontId="22" fillId="2" borderId="18" xfId="0" applyFont="true" applyBorder="true" applyAlignment="true" applyProtection="true">
      <alignment horizontal="center" vertical="center" textRotation="0" wrapText="true" indent="0" shrinkToFit="false"/>
      <protection locked="true" hidden="false"/>
    </xf>
    <xf numFmtId="164" fontId="5" fillId="0" borderId="11" xfId="0" applyFont="true" applyBorder="true" applyAlignment="true" applyProtection="true">
      <alignment horizontal="general" vertical="center" textRotation="0" wrapText="true" indent="0" shrinkToFit="false"/>
      <protection locked="true" hidden="false"/>
    </xf>
    <xf numFmtId="164" fontId="5" fillId="0" borderId="11" xfId="0" applyFont="true" applyBorder="true" applyAlignment="true" applyProtection="true">
      <alignment horizontal="center" vertical="center" textRotation="0" wrapText="true" indent="0" shrinkToFit="false"/>
      <protection locked="true" hidden="false"/>
    </xf>
    <xf numFmtId="164" fontId="5" fillId="0" borderId="11" xfId="0" applyFont="true" applyBorder="true" applyAlignment="true" applyProtection="true">
      <alignment horizontal="left" vertical="center" textRotation="0" wrapText="true" indent="0" shrinkToFit="false"/>
      <protection locked="true" hidden="false"/>
    </xf>
    <xf numFmtId="164" fontId="5" fillId="18" borderId="11" xfId="0" applyFont="true" applyBorder="true" applyAlignment="true" applyProtection="true">
      <alignment horizontal="general" vertical="bottom" textRotation="0" wrapText="true" indent="0" shrinkToFit="false"/>
      <protection locked="true" hidden="false"/>
    </xf>
    <xf numFmtId="164" fontId="5" fillId="3" borderId="11" xfId="0" applyFont="true" applyBorder="true" applyAlignment="true" applyProtection="true">
      <alignment horizontal="center" vertical="center" textRotation="0" wrapText="true" indent="0" shrinkToFit="false"/>
      <protection locked="true" hidden="false"/>
    </xf>
    <xf numFmtId="164" fontId="5" fillId="3" borderId="11" xfId="0" applyFont="true" applyBorder="true" applyAlignment="true" applyProtection="true">
      <alignment horizontal="left" vertical="center" textRotation="0" wrapText="true" indent="0" shrinkToFit="false"/>
      <protection locked="true" hidden="false"/>
    </xf>
    <xf numFmtId="164" fontId="4" fillId="3" borderId="19" xfId="0" applyFont="true" applyBorder="true" applyAlignment="true" applyProtection="true">
      <alignment horizontal="general" vertical="bottom" textRotation="0" wrapText="true" indent="0" shrinkToFit="false"/>
      <protection locked="true" hidden="false"/>
    </xf>
    <xf numFmtId="164" fontId="4" fillId="3" borderId="22" xfId="0" applyFont="true" applyBorder="true" applyAlignment="true" applyProtection="true">
      <alignment horizontal="general" vertical="bottom" textRotation="0" wrapText="true" indent="0" shrinkToFit="false"/>
      <protection locked="true" hidden="false"/>
    </xf>
    <xf numFmtId="164" fontId="11" fillId="3" borderId="27" xfId="0" applyFont="true" applyBorder="true" applyAlignment="true" applyProtection="true">
      <alignment horizontal="center" vertical="bottom" textRotation="0" wrapText="true" indent="0" shrinkToFit="false"/>
      <protection locked="true" hidden="false"/>
    </xf>
    <xf numFmtId="164" fontId="4" fillId="3" borderId="20" xfId="0" applyFont="true" applyBorder="true" applyAlignment="true" applyProtection="true">
      <alignment horizontal="general" vertical="bottom" textRotation="0" wrapText="true" indent="0" shrinkToFit="false"/>
      <protection locked="true" hidden="false"/>
    </xf>
    <xf numFmtId="164" fontId="22" fillId="19" borderId="9" xfId="0" applyFont="true" applyBorder="true" applyAlignment="true" applyProtection="true">
      <alignment horizontal="center" vertical="bottom" textRotation="0" wrapText="false" indent="0" shrinkToFit="false"/>
      <protection locked="true" hidden="false"/>
    </xf>
    <xf numFmtId="164" fontId="22" fillId="19" borderId="9" xfId="0" applyFont="true" applyBorder="true" applyAlignment="true" applyProtection="true">
      <alignment horizontal="center" vertical="center" textRotation="0" wrapText="true" indent="0" shrinkToFit="false"/>
      <protection locked="true" hidden="false"/>
    </xf>
    <xf numFmtId="164" fontId="6" fillId="0" borderId="34" xfId="0" applyFont="true" applyBorder="true" applyAlignment="true" applyProtection="true">
      <alignment horizontal="general" vertical="center" textRotation="0" wrapText="false" indent="0" shrinkToFit="false"/>
      <protection locked="true" hidden="false"/>
    </xf>
    <xf numFmtId="167" fontId="5" fillId="20" borderId="29" xfId="0" applyFont="true" applyBorder="true" applyAlignment="true" applyProtection="true">
      <alignment horizontal="center" vertical="center" textRotation="0" wrapText="false" indent="0" shrinkToFit="false"/>
      <protection locked="true" hidden="false"/>
    </xf>
    <xf numFmtId="164" fontId="6" fillId="5" borderId="1" xfId="0" applyFont="true" applyBorder="true" applyAlignment="true" applyProtection="true">
      <alignment horizontal="center" vertical="center" textRotation="0" wrapText="true" indent="0" shrinkToFit="false"/>
      <protection locked="true" hidden="false"/>
    </xf>
    <xf numFmtId="164" fontId="6" fillId="5" borderId="17" xfId="0" applyFont="true" applyBorder="true" applyAlignment="true" applyProtection="true">
      <alignment horizontal="center" vertical="center" textRotation="0" wrapText="true" indent="0" shrinkToFit="false"/>
      <protection locked="true" hidden="false"/>
    </xf>
    <xf numFmtId="164" fontId="6" fillId="5" borderId="18" xfId="0" applyFont="true" applyBorder="true" applyAlignment="true" applyProtection="true">
      <alignment horizontal="center" vertical="center" textRotation="0" wrapText="true" indent="0" shrinkToFit="false"/>
      <protection locked="true" hidden="false"/>
    </xf>
    <xf numFmtId="164" fontId="6" fillId="21" borderId="4" xfId="0" applyFont="true" applyBorder="true" applyAlignment="true" applyProtection="true">
      <alignment horizontal="general" vertical="center" textRotation="0" wrapText="false" indent="0" shrinkToFit="false"/>
      <protection locked="true" hidden="false"/>
    </xf>
    <xf numFmtId="167" fontId="5" fillId="20" borderId="5" xfId="0" applyFont="true" applyBorder="true" applyAlignment="true" applyProtection="true">
      <alignment horizontal="center" vertical="center" textRotation="0" wrapText="false" indent="0" shrinkToFit="false"/>
      <protection locked="true" hidden="false"/>
    </xf>
    <xf numFmtId="164" fontId="6" fillId="0" borderId="4" xfId="0" applyFont="true" applyBorder="true" applyAlignment="true" applyProtection="true">
      <alignment horizontal="center" vertical="bottom" textRotation="0" wrapText="false" indent="0" shrinkToFit="false"/>
      <protection locked="true" hidden="false"/>
    </xf>
    <xf numFmtId="168" fontId="5" fillId="0" borderId="11" xfId="0" applyFont="true" applyBorder="true" applyAlignment="true" applyProtection="true">
      <alignment horizontal="center" vertical="center" textRotation="0" wrapText="false" indent="0" shrinkToFit="false"/>
      <protection locked="true" hidden="false"/>
    </xf>
    <xf numFmtId="164" fontId="5" fillId="0" borderId="11" xfId="0" applyFont="true" applyBorder="true" applyAlignment="true" applyProtection="true">
      <alignment horizontal="center" vertical="center" textRotation="0" wrapText="false" indent="0" shrinkToFit="false"/>
      <protection locked="true" hidden="false"/>
    </xf>
    <xf numFmtId="164" fontId="5" fillId="4" borderId="5" xfId="0" applyFont="true" applyBorder="true" applyAlignment="true" applyProtection="true">
      <alignment horizontal="center" vertical="center" textRotation="0" wrapText="false" indent="0" shrinkToFit="false"/>
      <protection locked="true" hidden="false"/>
    </xf>
    <xf numFmtId="164" fontId="5" fillId="0" borderId="4" xfId="0" applyFont="true" applyBorder="true" applyAlignment="true" applyProtection="true">
      <alignment horizontal="general" vertical="center" textRotation="0" wrapText="true" indent="0" shrinkToFit="false"/>
      <protection locked="true" hidden="false"/>
    </xf>
    <xf numFmtId="164" fontId="5" fillId="0" borderId="5" xfId="0" applyFont="true" applyBorder="true" applyAlignment="true" applyProtection="true">
      <alignment horizontal="center" vertical="center" textRotation="0" wrapText="false" indent="0" shrinkToFit="false"/>
      <protection locked="true" hidden="false"/>
    </xf>
    <xf numFmtId="164" fontId="6" fillId="14" borderId="4" xfId="0" applyFont="true" applyBorder="true" applyAlignment="true" applyProtection="true">
      <alignment horizontal="center" vertical="bottom" textRotation="0" wrapText="false" indent="0" shrinkToFit="false"/>
      <protection locked="true" hidden="false"/>
    </xf>
    <xf numFmtId="168" fontId="5" fillId="14" borderId="11" xfId="0" applyFont="true" applyBorder="true" applyAlignment="true" applyProtection="true">
      <alignment horizontal="center" vertical="center" textRotation="0" wrapText="false" indent="0" shrinkToFit="false"/>
      <protection locked="true" hidden="false"/>
    </xf>
    <xf numFmtId="164" fontId="5" fillId="14" borderId="11" xfId="0" applyFont="true" applyBorder="true" applyAlignment="true" applyProtection="true">
      <alignment horizontal="center" vertical="center" textRotation="0" wrapText="false" indent="0" shrinkToFit="false"/>
      <protection locked="true" hidden="false"/>
    </xf>
    <xf numFmtId="164" fontId="5" fillId="21" borderId="4" xfId="0" applyFont="true" applyBorder="true" applyAlignment="true" applyProtection="true">
      <alignment horizontal="general" vertical="center" textRotation="0" wrapText="false" indent="0" shrinkToFit="false"/>
      <protection locked="true" hidden="false"/>
    </xf>
    <xf numFmtId="164" fontId="5" fillId="4" borderId="5" xfId="0" applyFont="true" applyBorder="true" applyAlignment="true" applyProtection="true">
      <alignment horizontal="center" vertical="bottom" textRotation="0" wrapText="false" indent="0" shrinkToFit="false"/>
      <protection locked="true" hidden="false"/>
    </xf>
    <xf numFmtId="164" fontId="5" fillId="0" borderId="7" xfId="0" applyFont="true" applyBorder="true" applyAlignment="true" applyProtection="true">
      <alignment horizontal="general" vertical="center" textRotation="0" wrapText="false" indent="0" shrinkToFit="false"/>
      <protection locked="true" hidden="false"/>
    </xf>
    <xf numFmtId="164" fontId="5" fillId="22" borderId="8"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20" fillId="2" borderId="22" xfId="0" applyFont="true" applyBorder="true" applyAlignment="true" applyProtection="true">
      <alignment horizontal="center" vertical="bottom" textRotation="0" wrapText="false" indent="0" shrinkToFit="false"/>
      <protection locked="true" hidden="false"/>
    </xf>
    <xf numFmtId="164" fontId="5" fillId="0" borderId="34" xfId="0" applyFont="true" applyBorder="true" applyAlignment="true" applyProtection="true">
      <alignment horizontal="general" vertical="bottom" textRotation="0" wrapText="false" indent="0" shrinkToFit="false"/>
      <protection locked="true" hidden="false"/>
    </xf>
    <xf numFmtId="164" fontId="5" fillId="17" borderId="29" xfId="0" applyFont="true" applyBorder="true" applyAlignment="true" applyProtection="true">
      <alignment horizontal="center" vertical="bottom" textRotation="0" wrapText="false" indent="0" shrinkToFit="false"/>
      <protection locked="true" hidden="false"/>
    </xf>
    <xf numFmtId="164" fontId="5" fillId="16" borderId="4" xfId="0" applyFont="true" applyBorder="true" applyAlignment="true" applyProtection="true">
      <alignment horizontal="general" vertical="bottom" textRotation="0" wrapText="false" indent="0" shrinkToFit="false"/>
      <protection locked="true" hidden="false"/>
    </xf>
    <xf numFmtId="169" fontId="5" fillId="0" borderId="5" xfId="0" applyFont="true" applyBorder="true" applyAlignment="true" applyProtection="true">
      <alignment horizontal="center" vertical="bottom" textRotation="0" wrapText="false" indent="0" shrinkToFit="false"/>
      <protection locked="true" hidden="false"/>
    </xf>
    <xf numFmtId="164" fontId="6" fillId="14" borderId="7" xfId="0" applyFont="true" applyBorder="true" applyAlignment="true" applyProtection="true">
      <alignment horizontal="center" vertical="bottom" textRotation="0" wrapText="false" indent="0" shrinkToFit="false"/>
      <protection locked="true" hidden="false"/>
    </xf>
    <xf numFmtId="168" fontId="5" fillId="14" borderId="12" xfId="0" applyFont="true" applyBorder="true" applyAlignment="true" applyProtection="true">
      <alignment horizontal="center" vertical="center" textRotation="0" wrapText="false" indent="0" shrinkToFit="false"/>
      <protection locked="true" hidden="false"/>
    </xf>
    <xf numFmtId="164" fontId="5" fillId="14" borderId="12" xfId="0" applyFont="true" applyBorder="true" applyAlignment="true" applyProtection="true">
      <alignment horizontal="center" vertical="center" textRotation="0" wrapText="false" indent="0" shrinkToFit="false"/>
      <protection locked="true" hidden="false"/>
    </xf>
    <xf numFmtId="164" fontId="5" fillId="4" borderId="8" xfId="0" applyFont="true" applyBorder="true" applyAlignment="true" applyProtection="true">
      <alignment horizontal="center" vertical="center" textRotation="0" wrapText="false" indent="0" shrinkToFit="false"/>
      <protection locked="true" hidden="false"/>
    </xf>
    <xf numFmtId="164" fontId="5" fillId="0" borderId="4" xfId="0" applyFont="true" applyBorder="true" applyAlignment="true" applyProtection="true">
      <alignment horizontal="general" vertical="bottom" textRotation="0" wrapText="false" indent="0" shrinkToFit="false"/>
      <protection locked="true" hidden="false"/>
    </xf>
    <xf numFmtId="164" fontId="5" fillId="0" borderId="5" xfId="0" applyFont="true" applyBorder="true" applyAlignment="true" applyProtection="true">
      <alignment horizontal="center" vertical="bottom" textRotation="0" wrapText="false" indent="0" shrinkToFit="false"/>
      <protection locked="true" hidden="false"/>
    </xf>
    <xf numFmtId="164" fontId="5" fillId="16" borderId="7" xfId="0" applyFont="true" applyBorder="true" applyAlignment="true" applyProtection="true">
      <alignment horizontal="general" vertical="bottom" textRotation="0" wrapText="false" indent="0" shrinkToFit="false"/>
      <protection locked="true" hidden="false"/>
    </xf>
    <xf numFmtId="164" fontId="6" fillId="22" borderId="8" xfId="0" applyFont="true" applyBorder="true" applyAlignment="true" applyProtection="true">
      <alignment horizontal="center" vertical="bottom" textRotation="0" wrapText="false" indent="0" shrinkToFit="false"/>
      <protection locked="true" hidden="false"/>
    </xf>
    <xf numFmtId="164" fontId="20" fillId="2" borderId="10"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general" vertical="center"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21" fillId="0" borderId="0" xfId="0" applyFont="true" applyBorder="true" applyAlignment="true" applyProtection="true">
      <alignment horizontal="center" vertical="center" textRotation="0" wrapText="true" indent="0" shrinkToFit="false"/>
      <protection locked="true" hidden="false"/>
    </xf>
    <xf numFmtId="164" fontId="20" fillId="19" borderId="9" xfId="0" applyFont="true" applyBorder="true" applyAlignment="true" applyProtection="true">
      <alignment horizontal="center" vertical="bottom" textRotation="0" wrapText="false" indent="0" shrinkToFit="false"/>
      <protection locked="true" hidden="false"/>
    </xf>
    <xf numFmtId="164" fontId="20" fillId="2" borderId="9" xfId="0" applyFont="true" applyBorder="true" applyAlignment="true" applyProtection="true">
      <alignment horizontal="center" vertical="center" textRotation="0" wrapText="true" indent="0" shrinkToFit="false"/>
      <protection locked="true" hidden="false"/>
    </xf>
    <xf numFmtId="167" fontId="25" fillId="20" borderId="29" xfId="0" applyFont="true" applyBorder="true" applyAlignment="true" applyProtection="true">
      <alignment horizontal="general" vertical="center" textRotation="0" wrapText="false" indent="0" shrinkToFit="false"/>
      <protection locked="true" hidden="false"/>
    </xf>
    <xf numFmtId="167" fontId="25" fillId="20" borderId="5" xfId="0" applyFont="true" applyBorder="true" applyAlignment="true" applyProtection="true">
      <alignment horizontal="general" vertical="center" textRotation="0" wrapText="false" indent="0" shrinkToFit="false"/>
      <protection locked="true" hidden="false"/>
    </xf>
    <xf numFmtId="164" fontId="6" fillId="0" borderId="34" xfId="0" applyFont="true" applyBorder="true" applyAlignment="true" applyProtection="true">
      <alignment horizontal="center" vertical="bottom" textRotation="0" wrapText="false" indent="0" shrinkToFit="false"/>
      <protection locked="true" hidden="false"/>
    </xf>
    <xf numFmtId="168" fontId="5" fillId="0" borderId="35" xfId="0" applyFont="true" applyBorder="true" applyAlignment="true" applyProtection="true">
      <alignment horizontal="center" vertical="center" textRotation="0" wrapText="false" indent="0" shrinkToFit="false"/>
      <protection locked="true" hidden="false"/>
    </xf>
    <xf numFmtId="164" fontId="5" fillId="0" borderId="35" xfId="0" applyFont="true" applyBorder="true" applyAlignment="true" applyProtection="true">
      <alignment horizontal="center" vertical="center" textRotation="0" wrapText="false" indent="0" shrinkToFit="false"/>
      <protection locked="true" hidden="false"/>
    </xf>
    <xf numFmtId="164" fontId="5" fillId="4" borderId="29" xfId="0" applyFont="true" applyBorder="true" applyAlignment="true" applyProtection="true">
      <alignment horizontal="center" vertical="center" textRotation="0" wrapText="false" indent="0" shrinkToFit="false"/>
      <protection locked="true" hidden="false"/>
    </xf>
    <xf numFmtId="164" fontId="25" fillId="0" borderId="5" xfId="0" applyFont="true" applyBorder="true" applyAlignment="true" applyProtection="true">
      <alignment horizontal="center" vertical="center" textRotation="0" wrapText="false" indent="0" shrinkToFit="false"/>
      <protection locked="true" hidden="false"/>
    </xf>
    <xf numFmtId="164" fontId="25" fillId="4" borderId="5" xfId="0" applyFont="true" applyBorder="true" applyAlignment="true" applyProtection="true">
      <alignment horizontal="center" vertical="bottom" textRotation="0" wrapText="false" indent="0" shrinkToFit="false"/>
      <protection locked="true" hidden="false"/>
    </xf>
    <xf numFmtId="164" fontId="5" fillId="0" borderId="7" xfId="0" applyFont="true" applyBorder="true" applyAlignment="true" applyProtection="true">
      <alignment horizontal="general" vertical="center" textRotation="0" wrapText="true" indent="0" shrinkToFit="false"/>
      <protection locked="true" hidden="false"/>
    </xf>
    <xf numFmtId="164" fontId="25" fillId="22" borderId="8" xfId="0" applyFont="true" applyBorder="true" applyAlignment="true" applyProtection="true">
      <alignment horizontal="center" vertical="bottom" textRotation="0" wrapText="false" indent="0" shrinkToFit="false"/>
      <protection locked="true" hidden="false"/>
    </xf>
    <xf numFmtId="164" fontId="5" fillId="17" borderId="29" xfId="0" applyFont="true" applyBorder="true" applyAlignment="true" applyProtection="true">
      <alignment horizontal="general" vertical="bottom" textRotation="0" wrapText="false" indent="0" shrinkToFit="false"/>
      <protection locked="true" hidden="false"/>
    </xf>
    <xf numFmtId="169" fontId="5" fillId="0" borderId="5" xfId="0" applyFont="true" applyBorder="true" applyAlignment="true" applyProtection="true">
      <alignment horizontal="general" vertical="bottom" textRotation="0" wrapText="false" indent="0" shrinkToFit="false"/>
      <protection locked="true" hidden="false"/>
    </xf>
    <xf numFmtId="164" fontId="5" fillId="16" borderId="4" xfId="0" applyFont="true" applyBorder="true" applyAlignment="true" applyProtection="true">
      <alignment horizontal="general" vertical="bottom" textRotation="0" wrapText="true" indent="0" shrinkToFit="false"/>
      <protection locked="true" hidden="false"/>
    </xf>
    <xf numFmtId="164" fontId="5" fillId="0" borderId="5" xfId="0" applyFont="true" applyBorder="true" applyAlignment="true" applyProtection="true">
      <alignment horizontal="general" vertical="bottom" textRotation="0" wrapText="false" indent="0" shrinkToFit="false"/>
      <protection locked="true" hidden="false"/>
    </xf>
    <xf numFmtId="164" fontId="6" fillId="22" borderId="8" xfId="0" applyFont="true" applyBorder="true" applyAlignment="true" applyProtection="true">
      <alignment horizontal="general" vertical="bottom" textRotation="0" wrapText="false" indent="0" shrinkToFit="false"/>
      <protection locked="true" hidden="false"/>
    </xf>
    <xf numFmtId="164" fontId="20" fillId="2" borderId="9" xfId="0" applyFont="true" applyBorder="true" applyAlignment="true" applyProtection="true">
      <alignment horizontal="center" vertical="bottom" textRotation="0" wrapText="false" indent="0" shrinkToFit="false"/>
      <protection locked="true" hidden="false"/>
    </xf>
    <xf numFmtId="164" fontId="6" fillId="0" borderId="4" xfId="0" applyFont="true" applyBorder="true" applyAlignment="true" applyProtection="true">
      <alignment horizontal="general" vertical="center" textRotation="0" wrapText="false" indent="0" shrinkToFit="false"/>
      <protection locked="true" hidden="false"/>
    </xf>
    <xf numFmtId="167" fontId="5" fillId="20" borderId="5" xfId="0" applyFont="true" applyBorder="true" applyAlignment="true" applyProtection="true">
      <alignment horizontal="general" vertical="center" textRotation="0" wrapText="false" indent="0" shrinkToFit="false"/>
      <protection locked="true" hidden="false"/>
    </xf>
    <xf numFmtId="164" fontId="5" fillId="0" borderId="11" xfId="0" applyFont="true" applyBorder="true" applyAlignment="true" applyProtection="true">
      <alignment horizontal="general" vertical="bottom" textRotation="0" wrapText="false" indent="0" shrinkToFit="false"/>
      <protection locked="true" hidden="false"/>
    </xf>
    <xf numFmtId="164" fontId="5" fillId="17" borderId="11" xfId="0" applyFont="true" applyBorder="true" applyAlignment="true" applyProtection="true">
      <alignment horizontal="general" vertical="bottom" textRotation="0" wrapText="false" indent="0" shrinkToFit="false"/>
      <protection locked="true" hidden="false"/>
    </xf>
    <xf numFmtId="164" fontId="5" fillId="16" borderId="11" xfId="0" applyFont="true" applyBorder="true" applyAlignment="true" applyProtection="true">
      <alignment horizontal="general" vertical="bottom" textRotation="0" wrapText="false" indent="0" shrinkToFit="false"/>
      <protection locked="true" hidden="false"/>
    </xf>
    <xf numFmtId="169" fontId="5" fillId="0" borderId="11" xfId="0" applyFont="true" applyBorder="true" applyAlignment="true" applyProtection="true">
      <alignment horizontal="general" vertical="bottom" textRotation="0" wrapText="false" indent="0" shrinkToFit="false"/>
      <protection locked="true" hidden="false"/>
    </xf>
    <xf numFmtId="164" fontId="6" fillId="22" borderId="11" xfId="0" applyFont="true" applyBorder="true" applyAlignment="true" applyProtection="true">
      <alignment horizontal="general" vertical="bottom" textRotation="0" wrapText="false" indent="0" shrinkToFit="false"/>
      <protection locked="true" hidden="false"/>
    </xf>
    <xf numFmtId="164" fontId="20" fillId="19" borderId="9" xfId="0" applyFont="true" applyBorder="true" applyAlignment="true" applyProtection="true">
      <alignment horizontal="center" vertical="center" textRotation="0" wrapText="true" indent="0" shrinkToFit="false"/>
      <protection locked="true" hidden="false"/>
    </xf>
    <xf numFmtId="167" fontId="5" fillId="20" borderId="29" xfId="0" applyFont="true" applyBorder="true" applyAlignment="true" applyProtection="true">
      <alignment horizontal="general" vertical="center" textRotation="0" wrapText="false" indent="0" shrinkToFit="false"/>
      <protection locked="true" hidden="false"/>
    </xf>
    <xf numFmtId="164" fontId="6" fillId="5" borderId="23" xfId="0" applyFont="true" applyBorder="true" applyAlignment="true" applyProtection="true">
      <alignment horizontal="center" vertical="center" textRotation="0" wrapText="true" indent="0" shrinkToFit="false"/>
      <protection locked="true" hidden="false"/>
    </xf>
    <xf numFmtId="164" fontId="6" fillId="5" borderId="21" xfId="0" applyFont="true" applyBorder="true" applyAlignment="true" applyProtection="true">
      <alignment horizontal="center" vertical="center" textRotation="0" wrapText="true" indent="0" shrinkToFit="false"/>
      <protection locked="true" hidden="false"/>
    </xf>
    <xf numFmtId="164" fontId="6" fillId="5" borderId="36" xfId="0" applyFont="true" applyBorder="true" applyAlignment="true" applyProtection="true">
      <alignment horizontal="center" vertical="center" textRotation="0" wrapText="true" indent="0" shrinkToFit="false"/>
      <protection locked="true" hidden="false"/>
    </xf>
    <xf numFmtId="164" fontId="6" fillId="0" borderId="10" xfId="0" applyFont="true" applyBorder="true" applyAlignment="true" applyProtection="true">
      <alignment horizontal="center" vertical="bottom" textRotation="0" wrapText="false" indent="0" shrinkToFit="false"/>
      <protection locked="true" hidden="false"/>
    </xf>
    <xf numFmtId="168" fontId="5" fillId="0" borderId="0" xfId="0" applyFont="true" applyBorder="true" applyAlignment="true" applyProtection="true">
      <alignment horizontal="center" vertical="center" textRotation="0" wrapText="false" indent="0" shrinkToFit="false"/>
      <protection locked="true" hidden="false"/>
    </xf>
    <xf numFmtId="164" fontId="5" fillId="4" borderId="6" xfId="0" applyFont="true" applyBorder="true" applyAlignment="true" applyProtection="true">
      <alignment horizontal="center" vertical="center" textRotation="0" wrapText="false" indent="0" shrinkToFit="false"/>
      <protection locked="true" hidden="false"/>
    </xf>
    <xf numFmtId="164" fontId="6" fillId="14" borderId="10" xfId="0" applyFont="true" applyBorder="true" applyAlignment="true" applyProtection="true">
      <alignment horizontal="center" vertical="bottom" textRotation="0" wrapText="false" indent="0" shrinkToFit="false"/>
      <protection locked="true" hidden="false"/>
    </xf>
    <xf numFmtId="168" fontId="5" fillId="14" borderId="0" xfId="0" applyFont="true" applyBorder="true" applyAlignment="true" applyProtection="true">
      <alignment horizontal="center" vertical="center" textRotation="0" wrapText="false" indent="0" shrinkToFit="false"/>
      <protection locked="true" hidden="false"/>
    </xf>
    <xf numFmtId="164" fontId="5" fillId="14" borderId="0" xfId="0" applyFont="true" applyBorder="true" applyAlignment="true" applyProtection="true">
      <alignment horizontal="center" vertical="center" textRotation="0" wrapText="false" indent="0" shrinkToFit="false"/>
      <protection locked="true" hidden="false"/>
    </xf>
    <xf numFmtId="164" fontId="6" fillId="14" borderId="37" xfId="0" applyFont="true" applyBorder="true" applyAlignment="true" applyProtection="true">
      <alignment horizontal="center" vertical="bottom" textRotation="0" wrapText="false" indent="0" shrinkToFit="false"/>
      <protection locked="true" hidden="false"/>
    </xf>
    <xf numFmtId="168" fontId="5" fillId="14" borderId="38" xfId="0" applyFont="true" applyBorder="true" applyAlignment="true" applyProtection="true">
      <alignment horizontal="center" vertical="center" textRotation="0" wrapText="false" indent="0" shrinkToFit="false"/>
      <protection locked="true" hidden="false"/>
    </xf>
    <xf numFmtId="164" fontId="5" fillId="14" borderId="38" xfId="0" applyFont="true" applyBorder="true" applyAlignment="true" applyProtection="true">
      <alignment horizontal="center" vertical="center" textRotation="0" wrapText="false" indent="0" shrinkToFit="false"/>
      <protection locked="true" hidden="false"/>
    </xf>
    <xf numFmtId="164" fontId="5" fillId="4" borderId="39" xfId="0" applyFont="true" applyBorder="true" applyAlignment="true" applyProtection="true">
      <alignment horizontal="center" vertical="center" textRotation="0" wrapText="false" indent="0" shrinkToFit="false"/>
      <protection locked="true" hidden="false"/>
    </xf>
    <xf numFmtId="164" fontId="20" fillId="2" borderId="10"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6" fillId="0" borderId="4" xfId="0" applyFont="true" applyBorder="true" applyAlignment="true" applyProtection="true">
      <alignment horizontal="general" vertical="bottom" textRotation="0" wrapText="false" indent="0" shrinkToFit="false"/>
      <protection locked="true" hidden="false"/>
    </xf>
    <xf numFmtId="168" fontId="5" fillId="0" borderId="11" xfId="0" applyFont="true" applyBorder="true" applyAlignment="true" applyProtection="true">
      <alignment horizontal="general" vertical="center" textRotation="0" wrapText="false" indent="0" shrinkToFit="false"/>
      <protection locked="true" hidden="false"/>
    </xf>
    <xf numFmtId="164" fontId="5" fillId="0" borderId="11" xfId="0" applyFont="true" applyBorder="true" applyAlignment="true" applyProtection="true">
      <alignment horizontal="general" vertical="center" textRotation="0" wrapText="false" indent="0" shrinkToFit="false"/>
      <protection locked="true" hidden="false"/>
    </xf>
    <xf numFmtId="164" fontId="5" fillId="4" borderId="5" xfId="0" applyFont="true" applyBorder="true" applyAlignment="true" applyProtection="true">
      <alignment horizontal="general" vertical="center" textRotation="0" wrapText="false" indent="0" shrinkToFit="false"/>
      <protection locked="true" hidden="false"/>
    </xf>
    <xf numFmtId="164" fontId="6" fillId="14" borderId="4" xfId="0" applyFont="true" applyBorder="true" applyAlignment="true" applyProtection="true">
      <alignment horizontal="general" vertical="bottom" textRotation="0" wrapText="false" indent="0" shrinkToFit="false"/>
      <protection locked="true" hidden="false"/>
    </xf>
    <xf numFmtId="168" fontId="5" fillId="14" borderId="11" xfId="0" applyFont="true" applyBorder="true" applyAlignment="true" applyProtection="true">
      <alignment horizontal="general" vertical="center" textRotation="0" wrapText="false" indent="0" shrinkToFit="false"/>
      <protection locked="true" hidden="false"/>
    </xf>
    <xf numFmtId="164" fontId="5" fillId="14" borderId="11" xfId="0" applyFont="true" applyBorder="true" applyAlignment="true" applyProtection="true">
      <alignment horizontal="general" vertical="center" textRotation="0" wrapText="false" indent="0" shrinkToFit="false"/>
      <protection locked="true" hidden="false"/>
    </xf>
    <xf numFmtId="164" fontId="6" fillId="14" borderId="7" xfId="0" applyFont="true" applyBorder="true" applyAlignment="true" applyProtection="true">
      <alignment horizontal="general" vertical="bottom" textRotation="0" wrapText="false" indent="0" shrinkToFit="false"/>
      <protection locked="true" hidden="false"/>
    </xf>
    <xf numFmtId="168" fontId="5" fillId="14" borderId="12" xfId="0" applyFont="true" applyBorder="true" applyAlignment="true" applyProtection="true">
      <alignment horizontal="general" vertical="center" textRotation="0" wrapText="false" indent="0" shrinkToFit="false"/>
      <protection locked="true" hidden="false"/>
    </xf>
    <xf numFmtId="164" fontId="5" fillId="14" borderId="12" xfId="0" applyFont="true" applyBorder="true" applyAlignment="true" applyProtection="true">
      <alignment horizontal="general" vertical="center" textRotation="0" wrapText="false" indent="0" shrinkToFit="false"/>
      <protection locked="true" hidden="false"/>
    </xf>
    <xf numFmtId="164" fontId="5" fillId="4" borderId="8"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justify"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20" fillId="2" borderId="2" xfId="0" applyFont="true" applyBorder="true" applyAlignment="true" applyProtection="true">
      <alignment horizontal="center" vertical="bottom" textRotation="0" wrapText="true" indent="0" shrinkToFit="false"/>
      <protection locked="true" hidden="false"/>
    </xf>
    <xf numFmtId="164" fontId="20" fillId="2" borderId="17" xfId="0" applyFont="true" applyBorder="true" applyAlignment="true" applyProtection="true">
      <alignment horizontal="center" vertical="center" textRotation="0" wrapText="true" indent="0" shrinkToFit="false"/>
      <protection locked="true" hidden="false"/>
    </xf>
    <xf numFmtId="164" fontId="20" fillId="2" borderId="17" xfId="0" applyFont="true" applyBorder="true" applyAlignment="true" applyProtection="true">
      <alignment horizontal="left" vertical="center" textRotation="0" wrapText="true" indent="0" shrinkToFit="false"/>
      <protection locked="true" hidden="false"/>
    </xf>
    <xf numFmtId="164" fontId="20" fillId="2" borderId="18" xfId="0" applyFont="true" applyBorder="true" applyAlignment="true" applyProtection="true">
      <alignment horizontal="center" vertical="center" textRotation="0" wrapText="true" indent="0" shrinkToFit="false"/>
      <protection locked="true" hidden="false"/>
    </xf>
    <xf numFmtId="164" fontId="6" fillId="0" borderId="34" xfId="0" applyFont="true" applyBorder="true" applyAlignment="true" applyProtection="true">
      <alignment horizontal="center" vertical="center" textRotation="0" wrapText="true" indent="0" shrinkToFit="false"/>
      <protection locked="true" hidden="false"/>
    </xf>
    <xf numFmtId="164" fontId="5" fillId="0" borderId="35" xfId="0" applyFont="true" applyBorder="true" applyAlignment="true" applyProtection="true">
      <alignment horizontal="general" vertical="center" textRotation="0" wrapText="true" indent="0" shrinkToFit="false"/>
      <protection locked="true" hidden="false"/>
    </xf>
    <xf numFmtId="167" fontId="5" fillId="0" borderId="35" xfId="0" applyFont="true" applyBorder="true" applyAlignment="true" applyProtection="true">
      <alignment horizontal="general" vertical="center" textRotation="0" wrapText="true" indent="0" shrinkToFit="false"/>
      <protection locked="true" hidden="false"/>
    </xf>
    <xf numFmtId="164" fontId="5" fillId="0" borderId="35" xfId="0" applyFont="true" applyBorder="true" applyAlignment="true" applyProtection="true">
      <alignment horizontal="left" vertical="center" textRotation="0" wrapText="true" indent="0" shrinkToFit="false"/>
      <protection locked="true" hidden="false"/>
    </xf>
    <xf numFmtId="170" fontId="5" fillId="0" borderId="29" xfId="0" applyFont="true" applyBorder="true" applyAlignment="true" applyProtection="true">
      <alignment horizontal="general" vertical="center" textRotation="0" wrapText="true" indent="0" shrinkToFit="false"/>
      <protection locked="true" hidden="false"/>
    </xf>
    <xf numFmtId="164" fontId="6" fillId="3" borderId="4" xfId="0" applyFont="true" applyBorder="true" applyAlignment="true" applyProtection="true">
      <alignment horizontal="center" vertical="center" textRotation="0" wrapText="true" indent="0" shrinkToFit="false"/>
      <protection locked="true" hidden="false"/>
    </xf>
    <xf numFmtId="164" fontId="5" fillId="3" borderId="11" xfId="0" applyFont="true" applyBorder="true" applyAlignment="true" applyProtection="true">
      <alignment horizontal="general" vertical="center" textRotation="0" wrapText="true" indent="0" shrinkToFit="false"/>
      <protection locked="true" hidden="false"/>
    </xf>
    <xf numFmtId="170" fontId="5" fillId="3" borderId="11" xfId="0" applyFont="true" applyBorder="true" applyAlignment="true" applyProtection="true">
      <alignment horizontal="general" vertical="center" textRotation="0" wrapText="true" indent="0" shrinkToFit="false"/>
      <protection locked="true" hidden="false"/>
    </xf>
    <xf numFmtId="170" fontId="5" fillId="3" borderId="5" xfId="0" applyFont="true" applyBorder="true" applyAlignment="true" applyProtection="true">
      <alignment horizontal="general" vertical="center" textRotation="0" wrapText="true" indent="0" shrinkToFit="false"/>
      <protection locked="true" hidden="false"/>
    </xf>
    <xf numFmtId="164" fontId="6" fillId="0" borderId="4" xfId="0" applyFont="true" applyBorder="true" applyAlignment="true" applyProtection="true">
      <alignment horizontal="center" vertical="center" textRotation="0" wrapText="true" indent="0" shrinkToFit="false"/>
      <protection locked="true" hidden="false"/>
    </xf>
    <xf numFmtId="170" fontId="5" fillId="0" borderId="11" xfId="0" applyFont="true" applyBorder="true" applyAlignment="true" applyProtection="true">
      <alignment horizontal="general" vertical="center" textRotation="0" wrapText="true" indent="0" shrinkToFit="false"/>
      <protection locked="true" hidden="false"/>
    </xf>
    <xf numFmtId="170" fontId="5" fillId="0" borderId="5" xfId="0" applyFont="true" applyBorder="true" applyAlignment="true" applyProtection="true">
      <alignment horizontal="general" vertical="center" textRotation="0" wrapText="true" indent="0" shrinkToFit="false"/>
      <protection locked="true" hidden="false"/>
    </xf>
    <xf numFmtId="164" fontId="6" fillId="0" borderId="7" xfId="0" applyFont="true" applyBorder="true" applyAlignment="true" applyProtection="true">
      <alignment horizontal="center" vertical="center" textRotation="0" wrapText="true" indent="0" shrinkToFit="false"/>
      <protection locked="true" hidden="false"/>
    </xf>
    <xf numFmtId="164" fontId="5" fillId="0" borderId="12" xfId="0" applyFont="true" applyBorder="true" applyAlignment="true" applyProtection="true">
      <alignment horizontal="general" vertical="center" textRotation="0" wrapText="true" indent="0" shrinkToFit="false"/>
      <protection locked="true" hidden="false"/>
    </xf>
    <xf numFmtId="170" fontId="5" fillId="0" borderId="12" xfId="0" applyFont="true" applyBorder="true" applyAlignment="true" applyProtection="true">
      <alignment horizontal="general" vertical="center" textRotation="0" wrapText="true" indent="0" shrinkToFit="false"/>
      <protection locked="true" hidden="false"/>
    </xf>
    <xf numFmtId="164" fontId="5" fillId="0" borderId="12" xfId="0" applyFont="true" applyBorder="true" applyAlignment="true" applyProtection="true">
      <alignment horizontal="left" vertical="center" textRotation="0" wrapText="true" indent="0" shrinkToFit="false"/>
      <protection locked="true" hidden="false"/>
    </xf>
    <xf numFmtId="170" fontId="5" fillId="0" borderId="8" xfId="0" applyFont="true" applyBorder="true" applyAlignment="true" applyProtection="tru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02060"/>
          <bgColor rgb="FF000000"/>
        </patternFill>
      </fill>
    </dxf>
    <dxf>
      <fill>
        <patternFill patternType="solid">
          <fgColor rgb="FF2A6099"/>
          <bgColor rgb="FF000000"/>
        </patternFill>
      </fill>
    </dxf>
    <dxf>
      <fill>
        <patternFill patternType="solid">
          <fgColor rgb="FFDEEBF7"/>
          <bgColor rgb="FF000000"/>
        </patternFill>
      </fill>
    </dxf>
    <dxf>
      <fill>
        <patternFill patternType="solid">
          <fgColor rgb="FFF6F9D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548235"/>
          <bgColor rgb="FF000000"/>
        </patternFill>
      </fill>
    </dxf>
  </dxfs>
  <colors>
    <indexedColors>
      <rgbColor rgb="FF000000"/>
      <rgbColor rgb="FFFFFFFF"/>
      <rgbColor rgb="FFFF0000"/>
      <rgbColor rgb="FF00FF00"/>
      <rgbColor rgb="FF0000FF"/>
      <rgbColor rgb="FFFFFF00"/>
      <rgbColor rgb="FFCC00FF"/>
      <rgbColor rgb="FF00FFFF"/>
      <rgbColor rgb="FF800000"/>
      <rgbColor rgb="FF008000"/>
      <rgbColor rgb="FF000080"/>
      <rgbColor rgb="FF548235"/>
      <rgbColor rgb="FF800080"/>
      <rgbColor rgb="FF2F5597"/>
      <rgbColor rgb="FFBFBFBF"/>
      <rgbColor rgb="FF808080"/>
      <rgbColor rgb="FF5B9BD5"/>
      <rgbColor rgb="FF993366"/>
      <rgbColor rgb="FFF6F9D4"/>
      <rgbColor rgb="FFDDEBF7"/>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EEBF7"/>
      <rgbColor rgb="FFE2F0D9"/>
      <rgbColor rgb="FFF2F2F2"/>
      <rgbColor rgb="FFC5E0B4"/>
      <rgbColor rgb="FFE7E6E6"/>
      <rgbColor rgb="FFDAE3F3"/>
      <rgbColor rgb="FFFBE5D6"/>
      <rgbColor rgb="FF2A6099"/>
      <rgbColor rgb="FF33CCCC"/>
      <rgbColor rgb="FF99CC00"/>
      <rgbColor rgb="FFFFCC00"/>
      <rgbColor rgb="FFFF9900"/>
      <rgbColor rgb="FFED7D31"/>
      <rgbColor rgb="FF595959"/>
      <rgbColor rgb="FFA9D18E"/>
      <rgbColor rgb="FF002060"/>
      <rgbColor rgb="FF339966"/>
      <rgbColor rgb="FF003300"/>
      <rgbColor rgb="FF404040"/>
      <rgbColor rgb="FFC55A11"/>
      <rgbColor rgb="FF993366"/>
      <rgbColor rgb="FF203864"/>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1 Burn Down Chart</a:t>
            </a:r>
          </a:p>
        </c:rich>
      </c:tx>
      <c:overlay val="0"/>
      <c:spPr>
        <a:noFill/>
        <a:ln w="0">
          <a:noFill/>
        </a:ln>
      </c:spPr>
    </c:title>
    <c:autoTitleDeleted val="0"/>
    <c:plotArea>
      <c:layout>
        <c:manualLayout>
          <c:layoutTarget val="inner"/>
          <c:xMode val="edge"/>
          <c:yMode val="edge"/>
          <c:x val="0.0836009301295538"/>
          <c:y val="0.165136162127929"/>
          <c:w val="0.916011515889713"/>
          <c:h val="0.754354021532616"/>
        </c:manualLayout>
      </c:layout>
      <c:lineChart>
        <c:grouping val="standard"/>
        <c:varyColors val="0"/>
        <c:ser>
          <c:idx val="0"/>
          <c:order val="0"/>
          <c:tx>
            <c:strRef>
              <c:f>'Burn Down Chart Sprint 1'!$L$2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 1'!$L$3:$L$16</c:f>
              <c:numCache>
                <c:formatCode>0.0</c:formatCode>
                <c:ptCount val="14"/>
                <c:pt idx="0">
                  <c:v>23</c:v>
                </c:pt>
                <c:pt idx="1">
                  <c:v>20.7</c:v>
                </c:pt>
                <c:pt idx="2">
                  <c:v>18.4</c:v>
                </c:pt>
                <c:pt idx="3">
                  <c:v>16.1</c:v>
                </c:pt>
                <c:pt idx="4">
                  <c:v>13.8</c:v>
                </c:pt>
                <c:pt idx="5">
                  <c:v>11.5</c:v>
                </c:pt>
                <c:pt idx="6">
                  <c:v>9.2</c:v>
                </c:pt>
                <c:pt idx="7">
                  <c:v>6.9</c:v>
                </c:pt>
                <c:pt idx="8">
                  <c:v>4.6</c:v>
                </c:pt>
                <c:pt idx="9">
                  <c:v>0</c:v>
                </c:pt>
              </c:numCache>
            </c:numRef>
          </c:val>
          <c:smooth val="0"/>
        </c:ser>
        <c:ser>
          <c:idx val="1"/>
          <c:order val="1"/>
          <c:tx>
            <c:strRef>
              <c:f>'Burn Down Chart Sprint 1'!$M$2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 1'!$M$3:$M$16</c:f>
              <c:numCache>
                <c:formatCode>General</c:formatCode>
                <c:ptCount val="14"/>
                <c:pt idx="0">
                  <c:v>23</c:v>
                </c:pt>
                <c:pt idx="1">
                  <c:v>22</c:v>
                </c:pt>
                <c:pt idx="2">
                  <c:v>19.5</c:v>
                </c:pt>
                <c:pt idx="3">
                  <c:v>17</c:v>
                </c:pt>
                <c:pt idx="4">
                  <c:v>14</c:v>
                </c:pt>
                <c:pt idx="5">
                  <c:v>11.5</c:v>
                </c:pt>
                <c:pt idx="6">
                  <c:v>8</c:v>
                </c:pt>
                <c:pt idx="7">
                  <c:v>5</c:v>
                </c:pt>
                <c:pt idx="8">
                  <c:v>2</c:v>
                </c:pt>
                <c:pt idx="9">
                  <c:v>0</c:v>
                </c:pt>
              </c:numCache>
            </c:numRef>
          </c:val>
          <c:smooth val="0"/>
        </c:ser>
        <c:hiLowLines>
          <c:spPr>
            <a:ln w="0">
              <a:noFill/>
            </a:ln>
          </c:spPr>
        </c:hiLowLines>
        <c:marker val="0"/>
        <c:axId val="98187672"/>
        <c:axId val="45681197"/>
      </c:lineChart>
      <c:catAx>
        <c:axId val="98187672"/>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45681197"/>
        <c:crosses val="autoZero"/>
        <c:auto val="1"/>
        <c:lblAlgn val="ctr"/>
        <c:lblOffset val="100"/>
        <c:noMultiLvlLbl val="0"/>
      </c:catAx>
      <c:valAx>
        <c:axId val="45681197"/>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98187672"/>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2 Burn Down Chart</a:t>
            </a:r>
          </a:p>
        </c:rich>
      </c:tx>
      <c:overlay val="0"/>
      <c:spPr>
        <a:noFill/>
        <a:ln w="0">
          <a:noFill/>
        </a:ln>
      </c:spPr>
    </c:title>
    <c:autoTitleDeleted val="0"/>
    <c:plotArea>
      <c:layout>
        <c:manualLayout>
          <c:layoutTarget val="inner"/>
          <c:xMode val="edge"/>
          <c:yMode val="edge"/>
          <c:x val="0.0836009301295538"/>
          <c:y val="0.165068547428481"/>
          <c:w val="0.916011515889713"/>
          <c:h val="0.754338695617719"/>
        </c:manualLayout>
      </c:layout>
      <c:lineChart>
        <c:grouping val="standard"/>
        <c:varyColors val="0"/>
        <c:ser>
          <c:idx val="0"/>
          <c:order val="0"/>
          <c:tx>
            <c:strRef>
              <c:f>'Burn Down Chart Sprint2'!$L$2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Sprint2'!$L$3:$L$16</c:f>
              <c:numCache>
                <c:formatCode>0.0</c:formatCode>
                <c:ptCount val="14"/>
                <c:pt idx="0">
                  <c:v>26</c:v>
                </c:pt>
                <c:pt idx="1">
                  <c:v>23.4</c:v>
                </c:pt>
                <c:pt idx="2">
                  <c:v>20.8</c:v>
                </c:pt>
                <c:pt idx="3">
                  <c:v>18.2</c:v>
                </c:pt>
                <c:pt idx="4">
                  <c:v>15.6</c:v>
                </c:pt>
                <c:pt idx="5">
                  <c:v>13</c:v>
                </c:pt>
                <c:pt idx="6">
                  <c:v>10.4</c:v>
                </c:pt>
                <c:pt idx="7">
                  <c:v>7.8</c:v>
                </c:pt>
                <c:pt idx="8">
                  <c:v>5.2</c:v>
                </c:pt>
                <c:pt idx="9">
                  <c:v>0</c:v>
                </c:pt>
              </c:numCache>
            </c:numRef>
          </c:val>
          <c:smooth val="0"/>
        </c:ser>
        <c:ser>
          <c:idx val="1"/>
          <c:order val="1"/>
          <c:tx>
            <c:strRef>
              <c:f>'Burn Down Chart Sprint2'!$M$2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Sprint2'!$M$3:$M$16</c:f>
              <c:numCache>
                <c:formatCode>General</c:formatCode>
                <c:ptCount val="14"/>
                <c:pt idx="0">
                  <c:v>26</c:v>
                </c:pt>
                <c:pt idx="1">
                  <c:v>25.5</c:v>
                </c:pt>
                <c:pt idx="2">
                  <c:v>25</c:v>
                </c:pt>
                <c:pt idx="3">
                  <c:v>21</c:v>
                </c:pt>
                <c:pt idx="4">
                  <c:v>17.5</c:v>
                </c:pt>
                <c:pt idx="5">
                  <c:v>14</c:v>
                </c:pt>
                <c:pt idx="6">
                  <c:v>10</c:v>
                </c:pt>
                <c:pt idx="7">
                  <c:v>6.5</c:v>
                </c:pt>
                <c:pt idx="8">
                  <c:v>2.5</c:v>
                </c:pt>
                <c:pt idx="9">
                  <c:v>0</c:v>
                </c:pt>
              </c:numCache>
            </c:numRef>
          </c:val>
          <c:smooth val="0"/>
        </c:ser>
        <c:hiLowLines>
          <c:spPr>
            <a:ln w="0">
              <a:noFill/>
            </a:ln>
          </c:spPr>
        </c:hiLowLines>
        <c:marker val="0"/>
        <c:axId val="74787360"/>
        <c:axId val="9914577"/>
      </c:lineChart>
      <c:catAx>
        <c:axId val="74787360"/>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9914577"/>
        <c:crosses val="autoZero"/>
        <c:auto val="1"/>
        <c:lblAlgn val="ctr"/>
        <c:lblOffset val="100"/>
        <c:noMultiLvlLbl val="0"/>
      </c:catAx>
      <c:valAx>
        <c:axId val="9914577"/>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74787360"/>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3 Burn Down Chart</a:t>
            </a:r>
          </a:p>
        </c:rich>
      </c:tx>
      <c:overlay val="0"/>
      <c:spPr>
        <a:noFill/>
        <a:ln w="0">
          <a:noFill/>
        </a:ln>
      </c:spPr>
    </c:title>
    <c:autoTitleDeleted val="0"/>
    <c:plotArea>
      <c:layout>
        <c:manualLayout>
          <c:layoutTarget val="inner"/>
          <c:xMode val="edge"/>
          <c:yMode val="edge"/>
          <c:x val="0.0836009301295538"/>
          <c:y val="0.165096909784385"/>
          <c:w val="0.916011515889713"/>
          <c:h val="0.754339534521678"/>
        </c:manualLayout>
      </c:layout>
      <c:lineChart>
        <c:grouping val="standard"/>
        <c:varyColors val="0"/>
        <c:ser>
          <c:idx val="0"/>
          <c:order val="0"/>
          <c:tx>
            <c:strRef>
              <c:f>'Burn Down Chart Sprint3'!$L$2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Sprint3'!$L$3:$L$16</c:f>
              <c:numCache>
                <c:formatCode>0.0</c:formatCode>
                <c:ptCount val="14"/>
                <c:pt idx="0">
                  <c:v>21</c:v>
                </c:pt>
                <c:pt idx="1">
                  <c:v>18.9</c:v>
                </c:pt>
                <c:pt idx="2">
                  <c:v>16.8</c:v>
                </c:pt>
                <c:pt idx="3">
                  <c:v>15.5</c:v>
                </c:pt>
                <c:pt idx="4">
                  <c:v>13.4</c:v>
                </c:pt>
                <c:pt idx="5">
                  <c:v>11.3</c:v>
                </c:pt>
                <c:pt idx="6">
                  <c:v>9.2</c:v>
                </c:pt>
                <c:pt idx="7">
                  <c:v>7.1</c:v>
                </c:pt>
                <c:pt idx="8">
                  <c:v>5</c:v>
                </c:pt>
                <c:pt idx="9">
                  <c:v>0</c:v>
                </c:pt>
              </c:numCache>
            </c:numRef>
          </c:val>
          <c:smooth val="0"/>
        </c:ser>
        <c:ser>
          <c:idx val="1"/>
          <c:order val="1"/>
          <c:tx>
            <c:strRef>
              <c:f>'Burn Down Chart Sprint3'!$M$2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Sprint3'!$M$3:$M$16</c:f>
              <c:numCache>
                <c:formatCode>General</c:formatCode>
                <c:ptCount val="14"/>
                <c:pt idx="0">
                  <c:v>21</c:v>
                </c:pt>
                <c:pt idx="1">
                  <c:v>19</c:v>
                </c:pt>
                <c:pt idx="2">
                  <c:v>16.5</c:v>
                </c:pt>
                <c:pt idx="3">
                  <c:v>15.5</c:v>
                </c:pt>
                <c:pt idx="4">
                  <c:v>14.5</c:v>
                </c:pt>
                <c:pt idx="5">
                  <c:v>11</c:v>
                </c:pt>
                <c:pt idx="6">
                  <c:v>8</c:v>
                </c:pt>
                <c:pt idx="7">
                  <c:v>5</c:v>
                </c:pt>
                <c:pt idx="8">
                  <c:v>2</c:v>
                </c:pt>
                <c:pt idx="9">
                  <c:v>0</c:v>
                </c:pt>
              </c:numCache>
            </c:numRef>
          </c:val>
          <c:smooth val="0"/>
        </c:ser>
        <c:hiLowLines>
          <c:spPr>
            <a:ln w="0">
              <a:noFill/>
            </a:ln>
          </c:spPr>
        </c:hiLowLines>
        <c:marker val="0"/>
        <c:axId val="66084362"/>
        <c:axId val="5912327"/>
      </c:lineChart>
      <c:catAx>
        <c:axId val="66084362"/>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5912327"/>
        <c:crosses val="autoZero"/>
        <c:auto val="1"/>
        <c:lblAlgn val="ctr"/>
        <c:lblOffset val="100"/>
        <c:noMultiLvlLbl val="0"/>
      </c:catAx>
      <c:valAx>
        <c:axId val="5912327"/>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66084362"/>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4 Burn Down Chart</a:t>
            </a:r>
          </a:p>
        </c:rich>
      </c:tx>
      <c:overlay val="0"/>
      <c:spPr>
        <a:noFill/>
        <a:ln w="0">
          <a:noFill/>
        </a:ln>
      </c:spPr>
    </c:title>
    <c:autoTitleDeleted val="0"/>
    <c:plotArea>
      <c:layout>
        <c:manualLayout>
          <c:layoutTarget val="inner"/>
          <c:xMode val="edge"/>
          <c:yMode val="edge"/>
          <c:x val="0.0836009301295538"/>
          <c:y val="0.165116645649433"/>
          <c:w val="0.916011515889713"/>
          <c:h val="0.754334804539723"/>
        </c:manualLayout>
      </c:layout>
      <c:lineChart>
        <c:grouping val="standard"/>
        <c:varyColors val="0"/>
        <c:ser>
          <c:idx val="0"/>
          <c:order val="0"/>
          <c:tx>
            <c:strRef>
              <c:f>'Burn Down Chart Sprint4'!$L$2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Sprint4'!$L$3:$L$16</c:f>
              <c:numCache>
                <c:formatCode>0.0</c:formatCode>
                <c:ptCount val="14"/>
                <c:pt idx="0">
                  <c:v>23</c:v>
                </c:pt>
                <c:pt idx="1">
                  <c:v>20.7</c:v>
                </c:pt>
                <c:pt idx="2">
                  <c:v>18.4</c:v>
                </c:pt>
                <c:pt idx="3">
                  <c:v>16.1</c:v>
                </c:pt>
                <c:pt idx="4">
                  <c:v>13.8</c:v>
                </c:pt>
                <c:pt idx="5">
                  <c:v>11.5</c:v>
                </c:pt>
                <c:pt idx="6">
                  <c:v>9.2</c:v>
                </c:pt>
                <c:pt idx="7">
                  <c:v>6.9</c:v>
                </c:pt>
                <c:pt idx="8">
                  <c:v>4.6</c:v>
                </c:pt>
                <c:pt idx="9">
                  <c:v>0</c:v>
                </c:pt>
              </c:numCache>
            </c:numRef>
          </c:val>
          <c:smooth val="0"/>
        </c:ser>
        <c:ser>
          <c:idx val="1"/>
          <c:order val="1"/>
          <c:tx>
            <c:strRef>
              <c:f>'Burn Down Chart Sprint4'!$M$2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Sprint4'!$M$3:$M$16</c:f>
              <c:numCache>
                <c:formatCode>General</c:formatCode>
                <c:ptCount val="14"/>
                <c:pt idx="0">
                  <c:v>23</c:v>
                </c:pt>
                <c:pt idx="1">
                  <c:v>21.8</c:v>
                </c:pt>
                <c:pt idx="2">
                  <c:v>19.6</c:v>
                </c:pt>
                <c:pt idx="3">
                  <c:v>17.4</c:v>
                </c:pt>
                <c:pt idx="4">
                  <c:v>15.2</c:v>
                </c:pt>
                <c:pt idx="5">
                  <c:v>13</c:v>
                </c:pt>
                <c:pt idx="6">
                  <c:v>10.8</c:v>
                </c:pt>
                <c:pt idx="7">
                  <c:v>8.6</c:v>
                </c:pt>
                <c:pt idx="8">
                  <c:v>6.4</c:v>
                </c:pt>
                <c:pt idx="9">
                  <c:v>0</c:v>
                </c:pt>
              </c:numCache>
            </c:numRef>
          </c:val>
          <c:smooth val="0"/>
        </c:ser>
        <c:hiLowLines>
          <c:spPr>
            <a:ln w="0">
              <a:noFill/>
            </a:ln>
          </c:spPr>
        </c:hiLowLines>
        <c:marker val="0"/>
        <c:axId val="92173712"/>
        <c:axId val="80573761"/>
      </c:lineChart>
      <c:catAx>
        <c:axId val="92173712"/>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80573761"/>
        <c:crosses val="autoZero"/>
        <c:auto val="1"/>
        <c:lblAlgn val="ctr"/>
        <c:lblOffset val="100"/>
        <c:noMultiLvlLbl val="0"/>
      </c:catAx>
      <c:valAx>
        <c:axId val="80573761"/>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92173712"/>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5 Burn Down Chart</a:t>
            </a:r>
          </a:p>
        </c:rich>
      </c:tx>
      <c:overlay val="0"/>
      <c:spPr>
        <a:noFill/>
        <a:ln w="0">
          <a:noFill/>
        </a:ln>
      </c:spPr>
    </c:title>
    <c:autoTitleDeleted val="0"/>
    <c:plotArea>
      <c:layout>
        <c:manualLayout>
          <c:layoutTarget val="inner"/>
          <c:xMode val="edge"/>
          <c:yMode val="edge"/>
          <c:x val="0.0836009301295538"/>
          <c:y val="0.165116279069767"/>
          <c:w val="0.916011515889713"/>
          <c:h val="0.754341085271318"/>
        </c:manualLayout>
      </c:layout>
      <c:lineChart>
        <c:grouping val="standard"/>
        <c:varyColors val="0"/>
        <c:ser>
          <c:idx val="0"/>
          <c:order val="0"/>
          <c:tx>
            <c:strRef>
              <c:f>'Burn Down Chart Sprint5'!$L$2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Sprint5'!$L$3:$L$16</c:f>
              <c:numCache>
                <c:formatCode>0.0</c:formatCode>
                <c:ptCount val="14"/>
                <c:pt idx="0">
                  <c:v>20</c:v>
                </c:pt>
                <c:pt idx="1">
                  <c:v>18</c:v>
                </c:pt>
                <c:pt idx="2">
                  <c:v>16</c:v>
                </c:pt>
                <c:pt idx="3">
                  <c:v>14</c:v>
                </c:pt>
                <c:pt idx="4">
                  <c:v>12</c:v>
                </c:pt>
                <c:pt idx="5">
                  <c:v>10</c:v>
                </c:pt>
                <c:pt idx="6">
                  <c:v>8</c:v>
                </c:pt>
                <c:pt idx="7">
                  <c:v>6</c:v>
                </c:pt>
                <c:pt idx="8">
                  <c:v>4</c:v>
                </c:pt>
                <c:pt idx="9">
                  <c:v>0</c:v>
                </c:pt>
              </c:numCache>
            </c:numRef>
          </c:val>
          <c:smooth val="0"/>
        </c:ser>
        <c:ser>
          <c:idx val="1"/>
          <c:order val="1"/>
          <c:tx>
            <c:strRef>
              <c:f>'Burn Down Chart Sprint5'!$M$2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Sprint5'!$M$3:$M$16</c:f>
              <c:numCache>
                <c:formatCode>General</c:formatCode>
                <c:ptCount val="14"/>
                <c:pt idx="0">
                  <c:v>20</c:v>
                </c:pt>
                <c:pt idx="1">
                  <c:v>18</c:v>
                </c:pt>
                <c:pt idx="2">
                  <c:v>15.5</c:v>
                </c:pt>
                <c:pt idx="3">
                  <c:v>15</c:v>
                </c:pt>
                <c:pt idx="4">
                  <c:v>14.5</c:v>
                </c:pt>
                <c:pt idx="5">
                  <c:v>14</c:v>
                </c:pt>
                <c:pt idx="6">
                  <c:v>10</c:v>
                </c:pt>
                <c:pt idx="7">
                  <c:v>6</c:v>
                </c:pt>
                <c:pt idx="8">
                  <c:v>2</c:v>
                </c:pt>
                <c:pt idx="9">
                  <c:v>0</c:v>
                </c:pt>
              </c:numCache>
            </c:numRef>
          </c:val>
          <c:smooth val="0"/>
        </c:ser>
        <c:hiLowLines>
          <c:spPr>
            <a:ln w="0">
              <a:noFill/>
            </a:ln>
          </c:spPr>
        </c:hiLowLines>
        <c:marker val="0"/>
        <c:axId val="47882510"/>
        <c:axId val="83857249"/>
      </c:lineChart>
      <c:catAx>
        <c:axId val="47882510"/>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83857249"/>
        <c:crosses val="autoZero"/>
        <c:auto val="1"/>
        <c:lblAlgn val="ctr"/>
        <c:lblOffset val="100"/>
        <c:noMultiLvlLbl val="0"/>
      </c:catAx>
      <c:valAx>
        <c:axId val="83857249"/>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47882510"/>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6 Burn Down Chart</a:t>
            </a:r>
          </a:p>
        </c:rich>
      </c:tx>
      <c:overlay val="0"/>
      <c:spPr>
        <a:noFill/>
        <a:ln w="0">
          <a:noFill/>
        </a:ln>
      </c:spPr>
    </c:title>
    <c:autoTitleDeleted val="0"/>
    <c:plotArea>
      <c:layout>
        <c:manualLayout>
          <c:layoutTarget val="inner"/>
          <c:xMode val="edge"/>
          <c:yMode val="edge"/>
          <c:x val="0.0836009301295538"/>
          <c:y val="0.165111940298507"/>
          <c:w val="0.916011515889713"/>
          <c:h val="0.754353233830846"/>
        </c:manualLayout>
      </c:layout>
      <c:lineChart>
        <c:grouping val="standard"/>
        <c:varyColors val="0"/>
        <c:ser>
          <c:idx val="0"/>
          <c:order val="0"/>
          <c:tx>
            <c:strRef>
              <c:f>'Burn Down Chart Sprint6'!$L$2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Sprint6'!$L$3:$L$14</c:f>
              <c:numCache>
                <c:formatCode>0.0</c:formatCode>
                <c:ptCount val="12"/>
                <c:pt idx="0">
                  <c:v>18</c:v>
                </c:pt>
                <c:pt idx="1">
                  <c:v>16.2</c:v>
                </c:pt>
                <c:pt idx="2">
                  <c:v>14.4</c:v>
                </c:pt>
                <c:pt idx="3">
                  <c:v>12.6</c:v>
                </c:pt>
                <c:pt idx="4">
                  <c:v>10.8</c:v>
                </c:pt>
                <c:pt idx="5">
                  <c:v>9</c:v>
                </c:pt>
                <c:pt idx="6">
                  <c:v>7.2</c:v>
                </c:pt>
                <c:pt idx="7">
                  <c:v>5.4</c:v>
                </c:pt>
                <c:pt idx="8">
                  <c:v>3.6</c:v>
                </c:pt>
                <c:pt idx="9">
                  <c:v>1.8</c:v>
                </c:pt>
              </c:numCache>
            </c:numRef>
          </c:val>
          <c:smooth val="0"/>
        </c:ser>
        <c:ser>
          <c:idx val="1"/>
          <c:order val="1"/>
          <c:tx>
            <c:strRef>
              <c:f>'Burn Down Chart Sprint6'!$M$2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Sprint6'!$M$3:$M$14</c:f>
              <c:numCache>
                <c:formatCode>General</c:formatCode>
                <c:ptCount val="12"/>
                <c:pt idx="0">
                  <c:v>18</c:v>
                </c:pt>
                <c:pt idx="1">
                  <c:v>16.5</c:v>
                </c:pt>
                <c:pt idx="2">
                  <c:v>14</c:v>
                </c:pt>
                <c:pt idx="3">
                  <c:v>12</c:v>
                </c:pt>
                <c:pt idx="4">
                  <c:v>10</c:v>
                </c:pt>
                <c:pt idx="5">
                  <c:v>8</c:v>
                </c:pt>
                <c:pt idx="6">
                  <c:v>6</c:v>
                </c:pt>
                <c:pt idx="7">
                  <c:v>3.5</c:v>
                </c:pt>
                <c:pt idx="8">
                  <c:v>5</c:v>
                </c:pt>
                <c:pt idx="9">
                  <c:v>5</c:v>
                </c:pt>
              </c:numCache>
            </c:numRef>
          </c:val>
          <c:smooth val="0"/>
        </c:ser>
        <c:hiLowLines>
          <c:spPr>
            <a:ln w="0">
              <a:noFill/>
            </a:ln>
          </c:spPr>
        </c:hiLowLines>
        <c:marker val="0"/>
        <c:axId val="56140076"/>
        <c:axId val="78355752"/>
      </c:lineChart>
      <c:catAx>
        <c:axId val="56140076"/>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78355752"/>
        <c:crosses val="autoZero"/>
        <c:auto val="1"/>
        <c:lblAlgn val="ctr"/>
        <c:lblOffset val="100"/>
        <c:noMultiLvlLbl val="0"/>
      </c:catAx>
      <c:valAx>
        <c:axId val="78355752"/>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56140076"/>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Burn Down Chart</a:t>
            </a:r>
          </a:p>
        </c:rich>
      </c:tx>
      <c:overlay val="0"/>
      <c:spPr>
        <a:noFill/>
        <a:ln w="0">
          <a:noFill/>
        </a:ln>
      </c:spPr>
    </c:title>
    <c:autoTitleDeleted val="0"/>
    <c:plotArea>
      <c:layout>
        <c:manualLayout>
          <c:layoutTarget val="inner"/>
          <c:xMode val="edge"/>
          <c:yMode val="edge"/>
          <c:x val="0.0836009301295538"/>
          <c:y val="0.165124056933966"/>
          <c:w val="0.916011515889713"/>
          <c:h val="0.754297269969666"/>
        </c:manualLayout>
      </c:layout>
      <c:lineChart>
        <c:grouping val="standard"/>
        <c:varyColors val="0"/>
        <c:ser>
          <c:idx val="0"/>
          <c:order val="0"/>
          <c:tx>
            <c:strRef>
              <c:f>'Burn Down Chart Sprint7'!$L$2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Sprint7'!$L$3:$L$16</c:f>
              <c:numCache>
                <c:formatCode>0.0</c:formatCode>
                <c:ptCount val="14"/>
                <c:pt idx="0">
                  <c:v>13</c:v>
                </c:pt>
                <c:pt idx="1">
                  <c:v>11.7</c:v>
                </c:pt>
                <c:pt idx="2">
                  <c:v>10.4</c:v>
                </c:pt>
                <c:pt idx="3">
                  <c:v>9.1</c:v>
                </c:pt>
                <c:pt idx="4">
                  <c:v>7.8</c:v>
                </c:pt>
                <c:pt idx="5">
                  <c:v>6.5</c:v>
                </c:pt>
                <c:pt idx="6">
                  <c:v>5.2</c:v>
                </c:pt>
                <c:pt idx="7">
                  <c:v>3.9</c:v>
                </c:pt>
                <c:pt idx="8">
                  <c:v>2.6</c:v>
                </c:pt>
                <c:pt idx="9">
                  <c:v>0</c:v>
                </c:pt>
              </c:numCache>
            </c:numRef>
          </c:val>
          <c:smooth val="0"/>
        </c:ser>
        <c:ser>
          <c:idx val="1"/>
          <c:order val="1"/>
          <c:tx>
            <c:strRef>
              <c:f>'Burn Down Chart Sprint7'!$M$2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Sprint7'!$M$3:$M$16</c:f>
              <c:numCache>
                <c:formatCode>General</c:formatCode>
                <c:ptCount val="14"/>
                <c:pt idx="0">
                  <c:v>13</c:v>
                </c:pt>
                <c:pt idx="1">
                  <c:v>12.5</c:v>
                </c:pt>
                <c:pt idx="2">
                  <c:v>11</c:v>
                </c:pt>
                <c:pt idx="3">
                  <c:v>9.5</c:v>
                </c:pt>
                <c:pt idx="4">
                  <c:v>8</c:v>
                </c:pt>
                <c:pt idx="5">
                  <c:v>7.5</c:v>
                </c:pt>
                <c:pt idx="6">
                  <c:v>6.5</c:v>
                </c:pt>
                <c:pt idx="7">
                  <c:v>4.5</c:v>
                </c:pt>
                <c:pt idx="8">
                  <c:v>3.5</c:v>
                </c:pt>
                <c:pt idx="9">
                  <c:v>0</c:v>
                </c:pt>
              </c:numCache>
            </c:numRef>
          </c:val>
          <c:smooth val="0"/>
        </c:ser>
        <c:hiLowLines>
          <c:spPr>
            <a:ln w="0">
              <a:noFill/>
            </a:ln>
          </c:spPr>
        </c:hiLowLines>
        <c:marker val="0"/>
        <c:axId val="94453101"/>
        <c:axId val="77573535"/>
      </c:lineChart>
      <c:catAx>
        <c:axId val="94453101"/>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77573535"/>
        <c:crosses val="autoZero"/>
        <c:auto val="1"/>
        <c:lblAlgn val="ctr"/>
        <c:lblOffset val="100"/>
        <c:noMultiLvlLbl val="0"/>
      </c:catAx>
      <c:valAx>
        <c:axId val="77573535"/>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94453101"/>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3.xml.rels><?xml version="1.0" encoding="UTF-8"?>
<Relationships xmlns="http://schemas.openxmlformats.org/package/2006/relationships"><Relationship Id="rId1" Type="http://schemas.openxmlformats.org/officeDocument/2006/relationships/chart" Target="../charts/chart1.xml"/>
</Relationships>
</file>

<file path=xl/drawings/_rels/drawing4.xml.rels><?xml version="1.0" encoding="UTF-8"?>
<Relationships xmlns="http://schemas.openxmlformats.org/package/2006/relationships"><Relationship Id="rId1" Type="http://schemas.openxmlformats.org/officeDocument/2006/relationships/chart" Target="../charts/chart2.xml"/>
</Relationships>
</file>

<file path=xl/drawings/_rels/drawing5.xml.rels><?xml version="1.0" encoding="UTF-8"?>
<Relationships xmlns="http://schemas.openxmlformats.org/package/2006/relationships"><Relationship Id="rId1" Type="http://schemas.openxmlformats.org/officeDocument/2006/relationships/chart" Target="../charts/chart3.xml"/>
</Relationships>
</file>

<file path=xl/drawings/_rels/drawing6.xml.rels><?xml version="1.0" encoding="UTF-8"?>
<Relationships xmlns="http://schemas.openxmlformats.org/package/2006/relationships"><Relationship Id="rId1" Type="http://schemas.openxmlformats.org/officeDocument/2006/relationships/chart" Target="../charts/chart4.xml"/>
</Relationships>
</file>

<file path=xl/drawings/_rels/drawing7.xml.rels><?xml version="1.0" encoding="UTF-8"?>
<Relationships xmlns="http://schemas.openxmlformats.org/package/2006/relationships"><Relationship Id="rId1" Type="http://schemas.openxmlformats.org/officeDocument/2006/relationships/chart" Target="../charts/chart5.xml"/>
</Relationships>
</file>

<file path=xl/drawings/_rels/drawing8.xml.rels><?xml version="1.0" encoding="UTF-8"?>
<Relationships xmlns="http://schemas.openxmlformats.org/package/2006/relationships"><Relationship Id="rId1" Type="http://schemas.openxmlformats.org/officeDocument/2006/relationships/chart" Target="../charts/chart6.xml"/>
</Relationships>
</file>

<file path=xl/drawings/_rels/drawing9.xml.rels><?xml version="1.0" encoding="UTF-8"?>
<Relationships xmlns="http://schemas.openxmlformats.org/package/2006/relationships"><Relationship Id="rId1"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64440</xdr:colOff>
      <xdr:row>0</xdr:row>
      <xdr:rowOff>11520</xdr:rowOff>
    </xdr:from>
    <xdr:to>
      <xdr:col>1</xdr:col>
      <xdr:colOff>729720</xdr:colOff>
      <xdr:row>0</xdr:row>
      <xdr:rowOff>675720</xdr:rowOff>
    </xdr:to>
    <xdr:pic>
      <xdr:nvPicPr>
        <xdr:cNvPr id="1" name="Imagen 1"/>
        <xdr:cNvPicPr/>
      </xdr:nvPicPr>
      <xdr:blipFill>
        <a:blip r:embed="rId1"/>
        <a:stretch/>
      </xdr:blipFill>
      <xdr:spPr>
        <a:xfrm>
          <a:off x="426960" y="11520"/>
          <a:ext cx="665280" cy="6642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422640</xdr:colOff>
      <xdr:row>19</xdr:row>
      <xdr:rowOff>47160</xdr:rowOff>
    </xdr:to>
    <xdr:graphicFrame>
      <xdr:nvGraphicFramePr>
        <xdr:cNvPr id="2" name="Gráfico 4"/>
        <xdr:cNvGraphicFramePr/>
      </xdr:nvGraphicFramePr>
      <xdr:xfrm>
        <a:off x="2981520" y="106920"/>
        <a:ext cx="6501960" cy="4547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422640</xdr:colOff>
      <xdr:row>17</xdr:row>
      <xdr:rowOff>105840</xdr:rowOff>
    </xdr:to>
    <xdr:graphicFrame>
      <xdr:nvGraphicFramePr>
        <xdr:cNvPr id="3" name="Gráfico 4"/>
        <xdr:cNvGraphicFramePr/>
      </xdr:nvGraphicFramePr>
      <xdr:xfrm>
        <a:off x="2940840" y="106920"/>
        <a:ext cx="6501960" cy="454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422640</xdr:colOff>
      <xdr:row>20</xdr:row>
      <xdr:rowOff>720</xdr:rowOff>
    </xdr:to>
    <xdr:graphicFrame>
      <xdr:nvGraphicFramePr>
        <xdr:cNvPr id="4" name="Gráfico 4"/>
        <xdr:cNvGraphicFramePr/>
      </xdr:nvGraphicFramePr>
      <xdr:xfrm>
        <a:off x="3162600" y="106920"/>
        <a:ext cx="6501960" cy="4624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422640</xdr:colOff>
      <xdr:row>17</xdr:row>
      <xdr:rowOff>149760</xdr:rowOff>
    </xdr:to>
    <xdr:graphicFrame>
      <xdr:nvGraphicFramePr>
        <xdr:cNvPr id="5" name="Gráfico 4"/>
        <xdr:cNvGraphicFramePr/>
      </xdr:nvGraphicFramePr>
      <xdr:xfrm>
        <a:off x="3132000" y="106920"/>
        <a:ext cx="6501960" cy="456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422640</xdr:colOff>
      <xdr:row>16</xdr:row>
      <xdr:rowOff>165960</xdr:rowOff>
    </xdr:to>
    <xdr:graphicFrame>
      <xdr:nvGraphicFramePr>
        <xdr:cNvPr id="6" name="Gráfico 4"/>
        <xdr:cNvGraphicFramePr/>
      </xdr:nvGraphicFramePr>
      <xdr:xfrm>
        <a:off x="3142080" y="106920"/>
        <a:ext cx="6501960" cy="464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422640</xdr:colOff>
      <xdr:row>16</xdr:row>
      <xdr:rowOff>295920</xdr:rowOff>
    </xdr:to>
    <xdr:graphicFrame>
      <xdr:nvGraphicFramePr>
        <xdr:cNvPr id="7" name="Gráfico 4"/>
        <xdr:cNvGraphicFramePr/>
      </xdr:nvGraphicFramePr>
      <xdr:xfrm>
        <a:off x="3122640" y="106920"/>
        <a:ext cx="6501960" cy="463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422640</xdr:colOff>
      <xdr:row>18</xdr:row>
      <xdr:rowOff>70920</xdr:rowOff>
    </xdr:to>
    <xdr:graphicFrame>
      <xdr:nvGraphicFramePr>
        <xdr:cNvPr id="8" name="Gráfico 4"/>
        <xdr:cNvGraphicFramePr/>
      </xdr:nvGraphicFramePr>
      <xdr:xfrm>
        <a:off x="3052080" y="106920"/>
        <a:ext cx="6501960" cy="4628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_rels/sheet12.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drawing" Target="../drawings/drawing7.xml"/>
</Relationships>
</file>

<file path=xl/worksheets/_rels/sheet14.xml.rels><?xml version="1.0" encoding="UTF-8"?>
<Relationships xmlns="http://schemas.openxmlformats.org/package/2006/relationships"><Relationship Id="rId1" Type="http://schemas.openxmlformats.org/officeDocument/2006/relationships/drawing" Target="../drawings/drawing8.xml"/>
</Relationships>
</file>

<file path=xl/worksheets/_rels/sheet15.xml.rels><?xml version="1.0" encoding="UTF-8"?>
<Relationships xmlns="http://schemas.openxmlformats.org/package/2006/relationships"><Relationship Id="rId1" Type="http://schemas.openxmlformats.org/officeDocument/2006/relationships/drawing" Target="../drawings/drawing9.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pageBreakPreview" topLeftCell="A2" colorId="64" zoomScale="85" zoomScaleNormal="75" zoomScalePageLayoutView="85" workbookViewId="0">
      <selection pane="topLeft" activeCell="B14" activeCellId="0" sqref="B14"/>
    </sheetView>
  </sheetViews>
  <sheetFormatPr defaultColWidth="11.5703125" defaultRowHeight="14.25" customHeight="false" zeroHeight="false" outlineLevelRow="0" outlineLevelCol="0"/>
  <cols>
    <col collapsed="false" customWidth="true" hidden="false" outlineLevel="0" max="1" min="1" style="1" width="5.14"/>
    <col collapsed="false" customWidth="false" hidden="false" outlineLevel="0" max="16384" min="2" style="1" width="11.57"/>
  </cols>
  <sheetData>
    <row r="1" customFormat="false" ht="69.4" hidden="false" customHeight="true" outlineLevel="0" collapsed="false">
      <c r="A1" s="2"/>
      <c r="B1" s="3"/>
      <c r="C1" s="4" t="s">
        <v>0</v>
      </c>
      <c r="D1" s="4"/>
      <c r="E1" s="4"/>
      <c r="F1" s="4"/>
      <c r="G1" s="4"/>
      <c r="H1" s="4"/>
    </row>
    <row r="2" customFormat="false" ht="15" hidden="false" customHeight="false" outlineLevel="0" collapsed="false">
      <c r="A2" s="2"/>
      <c r="B2" s="3"/>
      <c r="C2" s="5"/>
      <c r="D2" s="5"/>
      <c r="E2" s="5"/>
      <c r="F2" s="5"/>
      <c r="G2" s="5"/>
      <c r="H2" s="5"/>
    </row>
    <row r="3" customFormat="false" ht="15" hidden="false" customHeight="false" outlineLevel="0" collapsed="false">
      <c r="A3" s="2"/>
      <c r="B3" s="3"/>
      <c r="C3" s="5"/>
      <c r="D3" s="5"/>
      <c r="E3" s="5"/>
      <c r="F3" s="5"/>
      <c r="G3" s="5"/>
      <c r="H3" s="5"/>
    </row>
    <row r="4" customFormat="false" ht="15.75" hidden="false" customHeight="false" outlineLevel="0" collapsed="false">
      <c r="A4" s="2"/>
      <c r="B4" s="6" t="s">
        <v>1</v>
      </c>
      <c r="C4" s="5"/>
      <c r="D4" s="5"/>
      <c r="E4" s="5"/>
      <c r="F4" s="7" t="s">
        <v>2</v>
      </c>
      <c r="G4" s="5"/>
      <c r="H4" s="5"/>
    </row>
    <row r="5" customFormat="false" ht="13.5" hidden="false" customHeight="true" outlineLevel="0" collapsed="false">
      <c r="A5" s="2"/>
      <c r="B5" s="8" t="s">
        <v>3</v>
      </c>
      <c r="C5" s="9"/>
      <c r="D5" s="9"/>
      <c r="E5" s="9"/>
      <c r="F5" s="10" t="s">
        <v>4</v>
      </c>
      <c r="G5" s="10"/>
      <c r="H5" s="10"/>
    </row>
    <row r="6" customFormat="false" ht="15" hidden="false" customHeight="false" outlineLevel="0" collapsed="false">
      <c r="A6" s="2"/>
      <c r="B6" s="11" t="s">
        <v>5</v>
      </c>
      <c r="C6" s="11"/>
      <c r="D6" s="11"/>
      <c r="E6" s="11"/>
      <c r="F6" s="11"/>
      <c r="G6" s="11"/>
      <c r="H6" s="11"/>
    </row>
    <row r="7" customFormat="false" ht="15" hidden="false" customHeight="false" outlineLevel="0" collapsed="false">
      <c r="A7" s="2"/>
      <c r="B7" s="11" t="s">
        <v>6</v>
      </c>
      <c r="C7" s="11"/>
      <c r="D7" s="11"/>
      <c r="E7" s="11"/>
      <c r="F7" s="11"/>
      <c r="G7" s="11"/>
      <c r="H7" s="11"/>
    </row>
    <row r="8" customFormat="false" ht="15" hidden="false" customHeight="false" outlineLevel="0" collapsed="false">
      <c r="A8" s="2"/>
      <c r="B8" s="11" t="s">
        <v>7</v>
      </c>
      <c r="C8" s="11"/>
      <c r="D8" s="11"/>
      <c r="E8" s="11"/>
      <c r="F8" s="11"/>
      <c r="G8" s="11"/>
      <c r="H8" s="11"/>
    </row>
    <row r="9" customFormat="false" ht="15" hidden="false" customHeight="false" outlineLevel="0" collapsed="false">
      <c r="A9" s="2"/>
      <c r="B9" s="12"/>
      <c r="C9" s="5"/>
      <c r="D9" s="5"/>
      <c r="E9" s="5"/>
      <c r="F9" s="5"/>
      <c r="G9" s="5"/>
      <c r="H9" s="5"/>
    </row>
    <row r="10" customFormat="false" ht="27.05" hidden="false" customHeight="true" outlineLevel="0" collapsed="false">
      <c r="A10" s="2"/>
      <c r="B10" s="13" t="s">
        <v>8</v>
      </c>
      <c r="C10" s="5"/>
      <c r="D10" s="5"/>
      <c r="E10" s="5"/>
      <c r="F10" s="14" t="s">
        <v>9</v>
      </c>
      <c r="G10" s="14"/>
      <c r="H10" s="14"/>
    </row>
    <row r="11" customFormat="false" ht="15" hidden="false" customHeight="false" outlineLevel="0" collapsed="false">
      <c r="A11" s="2"/>
      <c r="B11" s="15"/>
      <c r="C11" s="15"/>
      <c r="D11" s="15"/>
      <c r="E11" s="15"/>
      <c r="F11" s="15"/>
      <c r="G11" s="15"/>
      <c r="H11" s="15"/>
    </row>
    <row r="12" customFormat="false" ht="15" hidden="false" customHeight="false" outlineLevel="0" collapsed="false">
      <c r="A12" s="2"/>
      <c r="B12" s="11"/>
      <c r="C12" s="11"/>
      <c r="D12" s="11"/>
      <c r="E12" s="11"/>
      <c r="F12" s="11"/>
      <c r="G12" s="11"/>
      <c r="H12" s="11"/>
    </row>
    <row r="13" customFormat="false" ht="32.35" hidden="false" customHeight="true" outlineLevel="0" collapsed="false">
      <c r="A13" s="2"/>
      <c r="B13" s="16" t="s">
        <v>10</v>
      </c>
      <c r="C13" s="16"/>
      <c r="D13" s="16"/>
      <c r="E13" s="16"/>
      <c r="F13" s="16"/>
      <c r="G13" s="16"/>
      <c r="H13" s="16"/>
    </row>
    <row r="14" customFormat="false" ht="262.5" hidden="false" customHeight="true" outlineLevel="0" collapsed="false">
      <c r="B14" s="17" t="s">
        <v>11</v>
      </c>
      <c r="C14" s="17"/>
      <c r="D14" s="17"/>
      <c r="E14" s="17"/>
      <c r="F14" s="17"/>
      <c r="G14" s="17"/>
      <c r="H14" s="17"/>
    </row>
    <row r="15" customFormat="false" ht="13.8" hidden="false" customHeight="false" outlineLevel="0" collapsed="false">
      <c r="B15" s="2"/>
    </row>
  </sheetData>
  <mergeCells count="10">
    <mergeCell ref="C1:H1"/>
    <mergeCell ref="F5:H5"/>
    <mergeCell ref="B6:H6"/>
    <mergeCell ref="B7:H7"/>
    <mergeCell ref="B8:H8"/>
    <mergeCell ref="F10:H10"/>
    <mergeCell ref="B11:H11"/>
    <mergeCell ref="B12:H12"/>
    <mergeCell ref="B13:H13"/>
    <mergeCell ref="B14:H14"/>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6"/>
  <sheetViews>
    <sheetView showFormulas="false" showGridLines="true" showRowColHeaders="true" showZeros="true" rightToLeft="false" tabSelected="false" showOutlineSymbols="true" defaultGridColor="true" view="pageBreakPreview" topLeftCell="A2" colorId="64" zoomScale="85" zoomScaleNormal="75" zoomScalePageLayoutView="85" workbookViewId="0">
      <selection pane="topLeft" activeCell="M5" activeCellId="0" sqref="M5"/>
    </sheetView>
  </sheetViews>
  <sheetFormatPr defaultColWidth="11.42578125" defaultRowHeight="12.8" customHeight="false" zeroHeight="false" outlineLevelRow="0" outlineLevelCol="0"/>
  <cols>
    <col collapsed="false" customWidth="true" hidden="false" outlineLevel="0" max="1" min="1" style="18" width="7.57"/>
    <col collapsed="false" customWidth="true" hidden="false" outlineLevel="0" max="8" min="8" style="18" width="19.42"/>
    <col collapsed="false" customWidth="true" hidden="false" outlineLevel="0" max="9" min="9" style="18" width="7.42"/>
  </cols>
  <sheetData>
    <row r="1" customFormat="false" ht="13.8" hidden="false" customHeight="false" outlineLevel="0" collapsed="false"/>
    <row r="2" customFormat="false" ht="17.35" hidden="false" customHeight="false" outlineLevel="0" collapsed="false">
      <c r="B2" s="19" t="s">
        <v>12</v>
      </c>
      <c r="C2" s="19"/>
      <c r="D2" s="19"/>
      <c r="E2" s="19"/>
      <c r="F2" s="19"/>
      <c r="G2" s="19"/>
      <c r="H2" s="19"/>
    </row>
    <row r="3" customFormat="false" ht="15" hidden="false" customHeight="true" outlineLevel="0" collapsed="false">
      <c r="B3" s="20" t="s">
        <v>13</v>
      </c>
      <c r="C3" s="20"/>
      <c r="D3" s="20"/>
      <c r="E3" s="20"/>
      <c r="F3" s="20"/>
      <c r="G3" s="20"/>
      <c r="H3" s="20"/>
    </row>
    <row r="4" customFormat="false" ht="409.5" hidden="false" customHeight="true" outlineLevel="0" collapsed="false">
      <c r="B4" s="20"/>
      <c r="C4" s="20"/>
      <c r="D4" s="20"/>
      <c r="E4" s="20"/>
      <c r="F4" s="20"/>
      <c r="G4" s="20"/>
      <c r="H4" s="20"/>
    </row>
    <row r="5" customFormat="false" ht="12.75" hidden="false" customHeight="true" outlineLevel="0" collapsed="false">
      <c r="B5" s="21"/>
      <c r="C5" s="21"/>
      <c r="D5" s="21"/>
      <c r="E5" s="21"/>
      <c r="F5" s="21"/>
      <c r="G5" s="21"/>
      <c r="H5" s="21"/>
    </row>
    <row r="6" customFormat="false" ht="13.8" hidden="false" customHeight="false" outlineLevel="0" collapsed="false">
      <c r="B6" s="21"/>
      <c r="C6" s="21"/>
      <c r="D6" s="21"/>
      <c r="E6" s="21"/>
      <c r="F6" s="21"/>
      <c r="G6" s="21"/>
      <c r="H6" s="21"/>
    </row>
  </sheetData>
  <mergeCells count="4">
    <mergeCell ref="B2:H2"/>
    <mergeCell ref="B3:H4"/>
    <mergeCell ref="B5:H5"/>
    <mergeCell ref="B6:H6"/>
  </mergeCells>
  <printOptions headings="false" gridLines="false" gridLinesSet="true" horizontalCentered="false" verticalCentered="false"/>
  <pageMargins left="0.7" right="0.7" top="0.75" bottom="0.75" header="0.511811023622047" footer="0.511811023622047"/>
  <pageSetup paperSize="1"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B5" activeCellId="0" sqref="B5"/>
    </sheetView>
  </sheetViews>
  <sheetFormatPr defaultColWidth="11.43359375" defaultRowHeight="14.25" customHeight="false" zeroHeight="false" outlineLevelRow="0" outlineLevelCol="0"/>
  <cols>
    <col collapsed="false" customWidth="true" hidden="false" outlineLevel="0" max="1" min="1" style="2" width="19.71"/>
    <col collapsed="false" customWidth="true" hidden="false" outlineLevel="0" max="2" min="2" style="2" width="78.43"/>
    <col collapsed="false" customWidth="false" hidden="false" outlineLevel="0" max="16383" min="3" style="2" width="11.43"/>
    <col collapsed="false" customWidth="true" hidden="false" outlineLevel="0" max="16384" min="16384" style="2" width="11.57"/>
  </cols>
  <sheetData>
    <row r="1" customFormat="false" ht="14.5" hidden="false" customHeight="true" outlineLevel="0" collapsed="false">
      <c r="A1" s="22" t="s">
        <v>14</v>
      </c>
      <c r="B1" s="22"/>
    </row>
    <row r="2" customFormat="false" ht="39.5" hidden="false" customHeight="false" outlineLevel="0" collapsed="false">
      <c r="A2" s="23" t="s">
        <v>15</v>
      </c>
      <c r="B2" s="24" t="s">
        <v>16</v>
      </c>
    </row>
    <row r="3" customFormat="false" ht="39.5" hidden="false" customHeight="false" outlineLevel="0" collapsed="false">
      <c r="A3" s="25" t="s">
        <v>17</v>
      </c>
      <c r="B3" s="26" t="s">
        <v>18</v>
      </c>
    </row>
    <row r="4" customFormat="false" ht="27" hidden="false" customHeight="false" outlineLevel="0" collapsed="false">
      <c r="A4" s="23" t="s">
        <v>19</v>
      </c>
      <c r="B4" s="27" t="s">
        <v>20</v>
      </c>
    </row>
    <row r="5" customFormat="false" ht="39.5" hidden="false" customHeight="false" outlineLevel="0" collapsed="false">
      <c r="A5" s="25" t="s">
        <v>21</v>
      </c>
      <c r="B5" s="28" t="s">
        <v>22</v>
      </c>
    </row>
    <row r="6" customFormat="false" ht="27" hidden="false" customHeight="false" outlineLevel="0" collapsed="false">
      <c r="A6" s="23" t="s">
        <v>23</v>
      </c>
      <c r="B6" s="27" t="s">
        <v>24</v>
      </c>
    </row>
    <row r="7" customFormat="false" ht="39.5" hidden="false" customHeight="false" outlineLevel="0" collapsed="false">
      <c r="A7" s="29" t="s">
        <v>25</v>
      </c>
      <c r="B7" s="30" t="s">
        <v>26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9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
  <sheetViews>
    <sheetView showFormulas="false" showGridLines="true" showRowColHeaders="true" showZeros="true" rightToLeft="false" tabSelected="false" showOutlineSymbols="true" defaultGridColor="true" view="pageBreakPreview" topLeftCell="A1" colorId="64" zoomScale="85" zoomScaleNormal="75" zoomScalePageLayoutView="85" workbookViewId="0">
      <pane xSplit="0" ySplit="2" topLeftCell="A3" activePane="bottomLeft" state="frozen"/>
      <selection pane="topLeft" activeCell="A1" activeCellId="0" sqref="A1"/>
      <selection pane="bottomLeft" activeCell="G9" activeCellId="0" sqref="G9"/>
    </sheetView>
  </sheetViews>
  <sheetFormatPr defaultColWidth="11.43359375" defaultRowHeight="14.25" customHeight="false" zeroHeight="false" outlineLevelRow="0" outlineLevelCol="0"/>
  <cols>
    <col collapsed="false" customWidth="true" hidden="false" outlineLevel="0" max="1" min="1" style="31" width="12.42"/>
    <col collapsed="false" customWidth="true" hidden="false" outlineLevel="0" max="2" min="2" style="31" width="24.71"/>
    <col collapsed="false" customWidth="true" hidden="false" outlineLevel="0" max="3" min="3" style="31" width="16.84"/>
    <col collapsed="false" customWidth="true" hidden="false" outlineLevel="0" max="4" min="4" style="31" width="13.42"/>
    <col collapsed="false" customWidth="true" hidden="false" outlineLevel="0" max="5" min="5" style="31" width="33.71"/>
    <col collapsed="false" customWidth="true" hidden="false" outlineLevel="0" max="6" min="6" style="31" width="28.14"/>
    <col collapsed="false" customWidth="true" hidden="false" outlineLevel="0" max="7" min="7" style="31" width="16"/>
    <col collapsed="false" customWidth="true" hidden="false" outlineLevel="0" max="8" min="8" style="31" width="12.86"/>
    <col collapsed="false" customWidth="true" hidden="false" outlineLevel="0" max="9" min="9" style="31" width="20.71"/>
    <col collapsed="false" customWidth="true" hidden="false" outlineLevel="0" max="10" min="10" style="31" width="16"/>
    <col collapsed="false" customWidth="false" hidden="false" outlineLevel="0" max="16384" min="11" style="31" width="11.43"/>
  </cols>
  <sheetData>
    <row r="1" customFormat="false" ht="15" hidden="false" customHeight="true" outlineLevel="0" collapsed="false">
      <c r="A1" s="32" t="s">
        <v>27</v>
      </c>
      <c r="B1" s="32"/>
      <c r="C1" s="32"/>
      <c r="D1" s="32"/>
      <c r="E1" s="32"/>
      <c r="F1" s="32"/>
      <c r="G1" s="32"/>
      <c r="H1" s="32"/>
      <c r="I1" s="32"/>
      <c r="J1" s="32"/>
    </row>
    <row r="2" customFormat="false" ht="27" hidden="false" customHeight="false" outlineLevel="0" collapsed="false">
      <c r="A2" s="33"/>
      <c r="B2" s="34" t="s">
        <v>28</v>
      </c>
      <c r="C2" s="34" t="s">
        <v>29</v>
      </c>
      <c r="D2" s="34" t="s">
        <v>30</v>
      </c>
      <c r="E2" s="34" t="s">
        <v>31</v>
      </c>
      <c r="F2" s="34" t="s">
        <v>32</v>
      </c>
      <c r="G2" s="34" t="s">
        <v>33</v>
      </c>
      <c r="H2" s="34" t="s">
        <v>34</v>
      </c>
      <c r="I2" s="34" t="s">
        <v>35</v>
      </c>
      <c r="J2" s="35" t="s">
        <v>36</v>
      </c>
    </row>
    <row r="3" customFormat="false" ht="60.75" hidden="false" customHeight="true" outlineLevel="0" collapsed="false">
      <c r="A3" s="36" t="s">
        <v>37</v>
      </c>
      <c r="B3" s="37" t="s">
        <v>38</v>
      </c>
      <c r="C3" s="37" t="s">
        <v>39</v>
      </c>
      <c r="D3" s="37" t="s">
        <v>40</v>
      </c>
      <c r="E3" s="38" t="s">
        <v>41</v>
      </c>
      <c r="F3" s="39" t="s">
        <v>42</v>
      </c>
      <c r="G3" s="39" t="s">
        <v>43</v>
      </c>
      <c r="H3" s="39" t="n">
        <v>4120000000</v>
      </c>
      <c r="I3" s="40" t="s">
        <v>44</v>
      </c>
      <c r="J3" s="41" t="n">
        <v>1</v>
      </c>
    </row>
    <row r="4" customFormat="false" ht="52" hidden="false" customHeight="false" outlineLevel="0" collapsed="false">
      <c r="A4" s="36"/>
      <c r="B4" s="42" t="s">
        <v>45</v>
      </c>
      <c r="C4" s="42" t="s">
        <v>46</v>
      </c>
      <c r="D4" s="42" t="s">
        <v>40</v>
      </c>
      <c r="E4" s="43" t="s">
        <v>47</v>
      </c>
      <c r="F4" s="43" t="s">
        <v>48</v>
      </c>
      <c r="G4" s="43" t="s">
        <v>49</v>
      </c>
      <c r="H4" s="43" t="n">
        <v>4140494806</v>
      </c>
      <c r="I4" s="43" t="s">
        <v>44</v>
      </c>
      <c r="J4" s="44" t="n">
        <v>1</v>
      </c>
    </row>
    <row r="5" customFormat="false" ht="66.75" hidden="false" customHeight="true" outlineLevel="0" collapsed="false">
      <c r="A5" s="36"/>
      <c r="B5" s="37" t="s">
        <v>50</v>
      </c>
      <c r="C5" s="37" t="s">
        <v>51</v>
      </c>
      <c r="D5" s="37" t="s">
        <v>40</v>
      </c>
      <c r="E5" s="38" t="s">
        <v>52</v>
      </c>
      <c r="F5" s="39" t="s">
        <v>53</v>
      </c>
      <c r="G5" s="39" t="s">
        <v>54</v>
      </c>
      <c r="H5" s="39" t="n">
        <v>4160000000</v>
      </c>
      <c r="I5" s="39" t="s">
        <v>55</v>
      </c>
      <c r="J5" s="41" t="n">
        <v>1</v>
      </c>
    </row>
    <row r="6" customFormat="false" ht="52" hidden="false" customHeight="false" outlineLevel="0" collapsed="false">
      <c r="A6" s="36"/>
      <c r="B6" s="42" t="s">
        <v>56</v>
      </c>
      <c r="C6" s="42" t="s">
        <v>57</v>
      </c>
      <c r="D6" s="42" t="s">
        <v>40</v>
      </c>
      <c r="E6" s="43" t="s">
        <v>58</v>
      </c>
      <c r="F6" s="43" t="s">
        <v>59</v>
      </c>
      <c r="G6" s="43" t="s">
        <v>60</v>
      </c>
      <c r="H6" s="43" t="n">
        <v>4120000000</v>
      </c>
      <c r="I6" s="43" t="s">
        <v>55</v>
      </c>
      <c r="J6" s="44" t="n">
        <v>1</v>
      </c>
    </row>
    <row r="7" customFormat="false" ht="64.5" hidden="false" customHeight="false" outlineLevel="0" collapsed="false">
      <c r="A7" s="36"/>
      <c r="B7" s="37" t="s">
        <v>61</v>
      </c>
      <c r="C7" s="37" t="s">
        <v>62</v>
      </c>
      <c r="D7" s="37" t="s">
        <v>63</v>
      </c>
      <c r="E7" s="38" t="s">
        <v>64</v>
      </c>
      <c r="F7" s="38" t="s">
        <v>65</v>
      </c>
      <c r="G7" s="39" t="s">
        <v>66</v>
      </c>
      <c r="H7" s="39" t="s">
        <v>66</v>
      </c>
      <c r="I7" s="39" t="s">
        <v>67</v>
      </c>
      <c r="J7" s="45" t="s">
        <v>66</v>
      </c>
    </row>
    <row r="8" customFormat="false" ht="51" hidden="false" customHeight="true" outlineLevel="0" collapsed="false">
      <c r="A8" s="46" t="s">
        <v>68</v>
      </c>
      <c r="B8" s="42" t="s">
        <v>69</v>
      </c>
      <c r="C8" s="42" t="s">
        <v>70</v>
      </c>
      <c r="D8" s="42" t="s">
        <v>63</v>
      </c>
      <c r="E8" s="43" t="s">
        <v>71</v>
      </c>
      <c r="F8" s="43" t="s">
        <v>72</v>
      </c>
      <c r="G8" s="43" t="s">
        <v>73</v>
      </c>
      <c r="H8" s="43" t="n">
        <v>4245896508</v>
      </c>
      <c r="I8" s="43" t="s">
        <v>67</v>
      </c>
      <c r="J8" s="47" t="s">
        <v>66</v>
      </c>
    </row>
    <row r="9" customFormat="false" ht="52" hidden="false" customHeight="false" outlineLevel="0" collapsed="false">
      <c r="A9" s="46"/>
      <c r="B9" s="37" t="s">
        <v>74</v>
      </c>
      <c r="C9" s="37" t="s">
        <v>75</v>
      </c>
      <c r="D9" s="37" t="s">
        <v>63</v>
      </c>
      <c r="E9" s="38" t="s">
        <v>76</v>
      </c>
      <c r="F9" s="39" t="s">
        <v>77</v>
      </c>
      <c r="G9" s="39" t="s">
        <v>78</v>
      </c>
      <c r="H9" s="39" t="n">
        <v>4166403340</v>
      </c>
      <c r="I9" s="39" t="s">
        <v>44</v>
      </c>
      <c r="J9" s="41" t="n">
        <v>1</v>
      </c>
    </row>
    <row r="10" customFormat="false" ht="52" hidden="false" customHeight="false" outlineLevel="0" collapsed="false">
      <c r="A10" s="46"/>
      <c r="B10" s="42" t="s">
        <v>79</v>
      </c>
      <c r="C10" s="42" t="s">
        <v>75</v>
      </c>
      <c r="D10" s="42" t="s">
        <v>63</v>
      </c>
      <c r="E10" s="43" t="s">
        <v>80</v>
      </c>
      <c r="F10" s="43" t="s">
        <v>81</v>
      </c>
      <c r="G10" s="43" t="s">
        <v>82</v>
      </c>
      <c r="H10" s="43" t="n">
        <v>4121841291</v>
      </c>
      <c r="I10" s="43" t="s">
        <v>44</v>
      </c>
      <c r="J10" s="44" t="n">
        <v>1</v>
      </c>
    </row>
    <row r="11" customFormat="false" ht="52" hidden="false" customHeight="false" outlineLevel="0" collapsed="false">
      <c r="A11" s="46"/>
      <c r="B11" s="48" t="s">
        <v>83</v>
      </c>
      <c r="C11" s="48" t="s">
        <v>75</v>
      </c>
      <c r="D11" s="48" t="s">
        <v>63</v>
      </c>
      <c r="E11" s="48" t="s">
        <v>84</v>
      </c>
      <c r="F11" s="49" t="s">
        <v>85</v>
      </c>
      <c r="G11" s="49" t="s">
        <v>66</v>
      </c>
      <c r="H11" s="49" t="s">
        <v>66</v>
      </c>
      <c r="I11" s="49" t="s">
        <v>44</v>
      </c>
      <c r="J11" s="50" t="s">
        <v>66</v>
      </c>
    </row>
  </sheetData>
  <mergeCells count="3">
    <mergeCell ref="A1:J1"/>
    <mergeCell ref="A3:A7"/>
    <mergeCell ref="A8:A11"/>
  </mergeCells>
  <printOptions headings="false" gridLines="false" gridLinesSet="true" horizontalCentered="false" verticalCentered="false"/>
  <pageMargins left="0.279861111111111" right="0.259722222222222" top="0.747916666666667" bottom="0.747916666666667"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44"/>
  <sheetViews>
    <sheetView showFormulas="false" showGridLines="false" showRowColHeaders="true" showZeros="true" rightToLeft="false" tabSelected="false" showOutlineSymbols="true" defaultGridColor="true" view="pageBreakPreview" topLeftCell="A37" colorId="64" zoomScale="85" zoomScaleNormal="75" zoomScalePageLayoutView="85" workbookViewId="0">
      <selection pane="topLeft" activeCell="K31" activeCellId="0" sqref="K31"/>
    </sheetView>
  </sheetViews>
  <sheetFormatPr defaultColWidth="11.43359375" defaultRowHeight="13.8" customHeight="false" zeroHeight="false" outlineLevelRow="0" outlineLevelCol="0"/>
  <cols>
    <col collapsed="false" customWidth="true" hidden="false" outlineLevel="0" max="1" min="1" style="51" width="7"/>
    <col collapsed="false" customWidth="true" hidden="false" outlineLevel="0" max="2" min="2" style="51" width="8.29"/>
    <col collapsed="false" customWidth="false" hidden="true" outlineLevel="0" max="3" min="3" style="52" width="11.43"/>
    <col collapsed="false" customWidth="true" hidden="false" outlineLevel="0" max="4" min="4" style="51" width="15.45"/>
    <col collapsed="false" customWidth="true" hidden="false" outlineLevel="0" max="5" min="5" style="52" width="24"/>
    <col collapsed="false" customWidth="true" hidden="false" outlineLevel="0" max="6" min="6" style="52" width="32.15"/>
    <col collapsed="false" customWidth="true" hidden="false" outlineLevel="0" max="7" min="7" style="52" width="27.29"/>
    <col collapsed="false" customWidth="true" hidden="false" outlineLevel="0" max="8" min="8" style="53" width="28.14"/>
    <col collapsed="false" customWidth="true" hidden="true" outlineLevel="0" max="9" min="9" style="52" width="14.71"/>
    <col collapsed="false" customWidth="true" hidden="false" outlineLevel="0" max="10" min="10" style="52" width="17.61"/>
    <col collapsed="false" customWidth="true" hidden="false" outlineLevel="0" max="11" min="11" style="52" width="38.38"/>
    <col collapsed="false" customWidth="true" hidden="true" outlineLevel="0" max="12" min="12" style="52" width="13.57"/>
    <col collapsed="false" customWidth="true" hidden="false" outlineLevel="0" max="13" min="13" style="52" width="13.57"/>
    <col collapsed="false" customWidth="false" hidden="false" outlineLevel="0" max="14" min="14" style="54" width="11.43"/>
    <col collapsed="false" customWidth="false" hidden="false" outlineLevel="0" max="16383" min="15" style="52" width="11.43"/>
    <col collapsed="false" customWidth="true" hidden="false" outlineLevel="0" max="16384" min="16384" style="52" width="11.53"/>
  </cols>
  <sheetData>
    <row r="1" customFormat="false" ht="15" hidden="false" customHeight="true" outlineLevel="0" collapsed="false">
      <c r="E1" s="55" t="s">
        <v>86</v>
      </c>
      <c r="F1" s="55"/>
      <c r="G1" s="55"/>
      <c r="H1" s="55"/>
      <c r="I1" s="55"/>
    </row>
    <row r="2" customFormat="false" ht="19.5" hidden="false" customHeight="true" outlineLevel="0" collapsed="false">
      <c r="A2" s="56" t="s">
        <v>87</v>
      </c>
      <c r="B2" s="56"/>
      <c r="C2" s="56"/>
      <c r="D2" s="56"/>
      <c r="E2" s="56"/>
      <c r="F2" s="56"/>
      <c r="G2" s="56"/>
      <c r="H2" s="56"/>
      <c r="I2" s="56"/>
      <c r="J2" s="56"/>
      <c r="K2" s="56"/>
      <c r="L2" s="56"/>
      <c r="M2" s="56"/>
    </row>
    <row r="3" customFormat="false" ht="39.5" hidden="false" customHeight="false" outlineLevel="0" collapsed="false">
      <c r="A3" s="57" t="s">
        <v>88</v>
      </c>
      <c r="B3" s="57" t="s">
        <v>89</v>
      </c>
      <c r="C3" s="57" t="s">
        <v>90</v>
      </c>
      <c r="D3" s="58" t="s">
        <v>91</v>
      </c>
      <c r="E3" s="59" t="s">
        <v>92</v>
      </c>
      <c r="F3" s="60" t="s">
        <v>93</v>
      </c>
      <c r="G3" s="60" t="s">
        <v>94</v>
      </c>
      <c r="H3" s="61" t="s">
        <v>95</v>
      </c>
      <c r="I3" s="62" t="s">
        <v>96</v>
      </c>
      <c r="J3" s="63" t="s">
        <v>97</v>
      </c>
      <c r="K3" s="57" t="s">
        <v>98</v>
      </c>
      <c r="L3" s="62" t="s">
        <v>96</v>
      </c>
      <c r="M3" s="63" t="s">
        <v>99</v>
      </c>
    </row>
    <row r="4" s="67" customFormat="true" ht="39.5" hidden="false" customHeight="false" outlineLevel="0" collapsed="false">
      <c r="A4" s="64" t="s">
        <v>100</v>
      </c>
      <c r="B4" s="64" t="s">
        <v>101</v>
      </c>
      <c r="C4" s="64"/>
      <c r="D4" s="64" t="n">
        <v>1</v>
      </c>
      <c r="E4" s="65" t="s">
        <v>102</v>
      </c>
      <c r="F4" s="66" t="s">
        <v>103</v>
      </c>
      <c r="G4" s="66" t="s">
        <v>104</v>
      </c>
      <c r="H4" s="66" t="s">
        <v>105</v>
      </c>
      <c r="I4" s="64" t="n">
        <v>15</v>
      </c>
      <c r="J4" s="64" t="s">
        <v>106</v>
      </c>
      <c r="K4" s="65" t="s">
        <v>107</v>
      </c>
      <c r="L4" s="64" t="n">
        <v>15</v>
      </c>
      <c r="M4" s="64" t="s">
        <v>108</v>
      </c>
      <c r="N4" s="54"/>
    </row>
    <row r="5" customFormat="false" ht="39.5" hidden="false" customHeight="false" outlineLevel="0" collapsed="false">
      <c r="A5" s="68" t="s">
        <v>109</v>
      </c>
      <c r="B5" s="68" t="s">
        <v>110</v>
      </c>
      <c r="C5" s="68"/>
      <c r="D5" s="68" t="s">
        <v>111</v>
      </c>
      <c r="E5" s="69" t="s">
        <v>112</v>
      </c>
      <c r="F5" s="70" t="s">
        <v>113</v>
      </c>
      <c r="G5" s="70" t="s">
        <v>114</v>
      </c>
      <c r="H5" s="70" t="s">
        <v>115</v>
      </c>
      <c r="I5" s="68" t="n">
        <v>5</v>
      </c>
      <c r="J5" s="68" t="s">
        <v>116</v>
      </c>
      <c r="K5" s="69" t="s">
        <v>117</v>
      </c>
      <c r="L5" s="68" t="n">
        <v>5</v>
      </c>
      <c r="M5" s="68" t="s">
        <v>118</v>
      </c>
    </row>
    <row r="6" customFormat="false" ht="39.5" hidden="false" customHeight="false" outlineLevel="0" collapsed="false">
      <c r="A6" s="71" t="s">
        <v>119</v>
      </c>
      <c r="B6" s="71" t="s">
        <v>110</v>
      </c>
      <c r="C6" s="71"/>
      <c r="D6" s="71" t="s">
        <v>120</v>
      </c>
      <c r="E6" s="72" t="s">
        <v>121</v>
      </c>
      <c r="F6" s="73" t="s">
        <v>122</v>
      </c>
      <c r="G6" s="73" t="s">
        <v>123</v>
      </c>
      <c r="H6" s="73" t="s">
        <v>124</v>
      </c>
      <c r="I6" s="71" t="n">
        <v>8</v>
      </c>
      <c r="J6" s="71" t="s">
        <v>125</v>
      </c>
      <c r="K6" s="72" t="s">
        <v>126</v>
      </c>
      <c r="L6" s="71" t="n">
        <v>8</v>
      </c>
      <c r="M6" s="71" t="s">
        <v>127</v>
      </c>
    </row>
    <row r="7" customFormat="false" ht="39.5" hidden="false" customHeight="false" outlineLevel="0" collapsed="false">
      <c r="A7" s="68" t="s">
        <v>128</v>
      </c>
      <c r="B7" s="68" t="s">
        <v>110</v>
      </c>
      <c r="C7" s="68"/>
      <c r="D7" s="68" t="s">
        <v>129</v>
      </c>
      <c r="E7" s="69" t="s">
        <v>112</v>
      </c>
      <c r="F7" s="70" t="s">
        <v>130</v>
      </c>
      <c r="G7" s="70" t="s">
        <v>131</v>
      </c>
      <c r="H7" s="70" t="s">
        <v>132</v>
      </c>
      <c r="I7" s="68" t="n">
        <v>2</v>
      </c>
      <c r="J7" s="68" t="s">
        <v>118</v>
      </c>
      <c r="K7" s="69" t="s">
        <v>133</v>
      </c>
      <c r="L7" s="68" t="n">
        <v>2</v>
      </c>
      <c r="M7" s="68" t="s">
        <v>134</v>
      </c>
    </row>
    <row r="8" s="67" customFormat="true" ht="52" hidden="false" customHeight="false" outlineLevel="0" collapsed="false">
      <c r="A8" s="64" t="s">
        <v>135</v>
      </c>
      <c r="B8" s="64" t="s">
        <v>101</v>
      </c>
      <c r="C8" s="64"/>
      <c r="D8" s="64" t="n">
        <v>2</v>
      </c>
      <c r="E8" s="65" t="s">
        <v>136</v>
      </c>
      <c r="F8" s="66" t="s">
        <v>137</v>
      </c>
      <c r="G8" s="66" t="s">
        <v>138</v>
      </c>
      <c r="H8" s="66" t="s">
        <v>139</v>
      </c>
      <c r="I8" s="64" t="n">
        <v>24</v>
      </c>
      <c r="J8" s="64" t="s">
        <v>140</v>
      </c>
      <c r="K8" s="65" t="s">
        <v>141</v>
      </c>
      <c r="L8" s="64" t="n">
        <v>24</v>
      </c>
      <c r="M8" s="64" t="s">
        <v>142</v>
      </c>
      <c r="N8" s="54"/>
    </row>
    <row r="9" customFormat="false" ht="39.5" hidden="false" customHeight="false" outlineLevel="0" collapsed="false">
      <c r="A9" s="68" t="s">
        <v>143</v>
      </c>
      <c r="B9" s="68" t="s">
        <v>110</v>
      </c>
      <c r="C9" s="68"/>
      <c r="D9" s="68" t="s">
        <v>144</v>
      </c>
      <c r="E9" s="69" t="s">
        <v>145</v>
      </c>
      <c r="F9" s="70" t="s">
        <v>146</v>
      </c>
      <c r="G9" s="70" t="s">
        <v>147</v>
      </c>
      <c r="H9" s="70" t="s">
        <v>148</v>
      </c>
      <c r="I9" s="68" t="n">
        <v>8</v>
      </c>
      <c r="J9" s="68" t="s">
        <v>149</v>
      </c>
      <c r="K9" s="69" t="s">
        <v>150</v>
      </c>
      <c r="L9" s="68" t="n">
        <v>8</v>
      </c>
      <c r="M9" s="68" t="s">
        <v>151</v>
      </c>
    </row>
    <row r="10" customFormat="false" ht="39.5" hidden="false" customHeight="false" outlineLevel="0" collapsed="false">
      <c r="A10" s="71" t="s">
        <v>152</v>
      </c>
      <c r="B10" s="71" t="s">
        <v>110</v>
      </c>
      <c r="C10" s="71"/>
      <c r="D10" s="71" t="s">
        <v>153</v>
      </c>
      <c r="E10" s="72" t="s">
        <v>145</v>
      </c>
      <c r="F10" s="73" t="s">
        <v>154</v>
      </c>
      <c r="G10" s="73" t="s">
        <v>155</v>
      </c>
      <c r="H10" s="73" t="s">
        <v>156</v>
      </c>
      <c r="I10" s="71" t="n">
        <v>5</v>
      </c>
      <c r="J10" s="71" t="s">
        <v>116</v>
      </c>
      <c r="K10" s="72" t="s">
        <v>157</v>
      </c>
      <c r="L10" s="71" t="n">
        <v>5</v>
      </c>
      <c r="M10" s="71" t="s">
        <v>118</v>
      </c>
    </row>
    <row r="11" customFormat="false" ht="39.5" hidden="false" customHeight="false" outlineLevel="0" collapsed="false">
      <c r="A11" s="68" t="s">
        <v>158</v>
      </c>
      <c r="B11" s="68" t="s">
        <v>110</v>
      </c>
      <c r="C11" s="68"/>
      <c r="D11" s="68" t="s">
        <v>159</v>
      </c>
      <c r="E11" s="69" t="s">
        <v>145</v>
      </c>
      <c r="F11" s="70" t="s">
        <v>160</v>
      </c>
      <c r="G11" s="70" t="s">
        <v>161</v>
      </c>
      <c r="H11" s="70" t="s">
        <v>162</v>
      </c>
      <c r="I11" s="68" t="n">
        <v>3</v>
      </c>
      <c r="J11" s="68" t="s">
        <v>116</v>
      </c>
      <c r="K11" s="69" t="s">
        <v>163</v>
      </c>
      <c r="L11" s="68" t="n">
        <v>3</v>
      </c>
      <c r="M11" s="68" t="s">
        <v>118</v>
      </c>
    </row>
    <row r="12" customFormat="false" ht="39.5" hidden="false" customHeight="false" outlineLevel="0" collapsed="false">
      <c r="A12" s="71" t="s">
        <v>164</v>
      </c>
      <c r="B12" s="71" t="s">
        <v>110</v>
      </c>
      <c r="C12" s="71"/>
      <c r="D12" s="71" t="s">
        <v>165</v>
      </c>
      <c r="E12" s="72" t="s">
        <v>166</v>
      </c>
      <c r="F12" s="73" t="s">
        <v>167</v>
      </c>
      <c r="G12" s="73" t="s">
        <v>168</v>
      </c>
      <c r="H12" s="73" t="s">
        <v>169</v>
      </c>
      <c r="I12" s="71" t="n">
        <v>3</v>
      </c>
      <c r="J12" s="71" t="s">
        <v>118</v>
      </c>
      <c r="K12" s="72" t="s">
        <v>170</v>
      </c>
      <c r="L12" s="71" t="n">
        <v>3</v>
      </c>
      <c r="M12" s="71" t="s">
        <v>134</v>
      </c>
    </row>
    <row r="13" s="67" customFormat="true" ht="52" hidden="false" customHeight="false" outlineLevel="0" collapsed="false">
      <c r="A13" s="64" t="s">
        <v>171</v>
      </c>
      <c r="B13" s="64" t="s">
        <v>101</v>
      </c>
      <c r="C13" s="64"/>
      <c r="D13" s="64" t="n">
        <v>3</v>
      </c>
      <c r="E13" s="65" t="s">
        <v>136</v>
      </c>
      <c r="F13" s="66" t="s">
        <v>172</v>
      </c>
      <c r="G13" s="66" t="s">
        <v>173</v>
      </c>
      <c r="H13" s="66" t="s">
        <v>174</v>
      </c>
      <c r="I13" s="64" t="n">
        <v>19</v>
      </c>
      <c r="J13" s="64" t="s">
        <v>175</v>
      </c>
      <c r="K13" s="65" t="s">
        <v>176</v>
      </c>
      <c r="L13" s="64" t="n">
        <v>19</v>
      </c>
      <c r="M13" s="64" t="s">
        <v>177</v>
      </c>
      <c r="N13" s="54"/>
    </row>
    <row r="14" customFormat="false" ht="39.5" hidden="false" customHeight="false" outlineLevel="0" collapsed="false">
      <c r="A14" s="68" t="s">
        <v>178</v>
      </c>
      <c r="B14" s="68" t="s">
        <v>110</v>
      </c>
      <c r="C14" s="68"/>
      <c r="D14" s="68" t="s">
        <v>179</v>
      </c>
      <c r="E14" s="69" t="s">
        <v>145</v>
      </c>
      <c r="F14" s="70" t="s">
        <v>180</v>
      </c>
      <c r="G14" s="70" t="s">
        <v>181</v>
      </c>
      <c r="H14" s="70" t="s">
        <v>182</v>
      </c>
      <c r="I14" s="68" t="n">
        <v>6</v>
      </c>
      <c r="J14" s="68" t="s">
        <v>116</v>
      </c>
      <c r="K14" s="69" t="s">
        <v>183</v>
      </c>
      <c r="L14" s="68" t="n">
        <v>6</v>
      </c>
      <c r="M14" s="68" t="s">
        <v>118</v>
      </c>
    </row>
    <row r="15" customFormat="false" ht="39.5" hidden="false" customHeight="false" outlineLevel="0" collapsed="false">
      <c r="A15" s="71" t="s">
        <v>184</v>
      </c>
      <c r="B15" s="71" t="s">
        <v>110</v>
      </c>
      <c r="C15" s="71"/>
      <c r="D15" s="71" t="s">
        <v>185</v>
      </c>
      <c r="E15" s="72" t="s">
        <v>145</v>
      </c>
      <c r="F15" s="73" t="s">
        <v>186</v>
      </c>
      <c r="G15" s="73" t="s">
        <v>187</v>
      </c>
      <c r="H15" s="73" t="s">
        <v>188</v>
      </c>
      <c r="I15" s="71" t="n">
        <v>4</v>
      </c>
      <c r="J15" s="71" t="s">
        <v>116</v>
      </c>
      <c r="K15" s="72" t="s">
        <v>189</v>
      </c>
      <c r="L15" s="71" t="n">
        <v>4</v>
      </c>
      <c r="M15" s="71" t="s">
        <v>118</v>
      </c>
    </row>
    <row r="16" customFormat="false" ht="39.5" hidden="false" customHeight="false" outlineLevel="0" collapsed="false">
      <c r="A16" s="68" t="s">
        <v>190</v>
      </c>
      <c r="B16" s="68" t="s">
        <v>110</v>
      </c>
      <c r="C16" s="68"/>
      <c r="D16" s="68" t="s">
        <v>191</v>
      </c>
      <c r="E16" s="69" t="s">
        <v>166</v>
      </c>
      <c r="F16" s="70" t="s">
        <v>192</v>
      </c>
      <c r="G16" s="70" t="s">
        <v>193</v>
      </c>
      <c r="H16" s="70" t="s">
        <v>194</v>
      </c>
      <c r="I16" s="68" t="n">
        <v>5</v>
      </c>
      <c r="J16" s="68" t="s">
        <v>118</v>
      </c>
      <c r="K16" s="69" t="s">
        <v>195</v>
      </c>
      <c r="L16" s="68" t="n">
        <v>5</v>
      </c>
      <c r="M16" s="68" t="s">
        <v>134</v>
      </c>
    </row>
    <row r="17" customFormat="false" ht="39.5" hidden="false" customHeight="false" outlineLevel="0" collapsed="false">
      <c r="A17" s="71" t="s">
        <v>196</v>
      </c>
      <c r="B17" s="71" t="s">
        <v>110</v>
      </c>
      <c r="C17" s="71"/>
      <c r="D17" s="71" t="s">
        <v>197</v>
      </c>
      <c r="E17" s="72" t="s">
        <v>198</v>
      </c>
      <c r="F17" s="73" t="s">
        <v>199</v>
      </c>
      <c r="G17" s="73" t="s">
        <v>200</v>
      </c>
      <c r="H17" s="73" t="s">
        <v>201</v>
      </c>
      <c r="I17" s="71" t="n">
        <v>4</v>
      </c>
      <c r="J17" s="71" t="s">
        <v>118</v>
      </c>
      <c r="K17" s="72" t="s">
        <v>202</v>
      </c>
      <c r="L17" s="71" t="n">
        <v>4</v>
      </c>
      <c r="M17" s="71" t="s">
        <v>203</v>
      </c>
      <c r="XFD17" s="74"/>
    </row>
    <row r="18" s="74" customFormat="true" ht="64.5" hidden="false" customHeight="false" outlineLevel="0" collapsed="false">
      <c r="A18" s="64" t="s">
        <v>204</v>
      </c>
      <c r="B18" s="64" t="s">
        <v>205</v>
      </c>
      <c r="C18" s="66" t="n">
        <v>4</v>
      </c>
      <c r="D18" s="64" t="s">
        <v>206</v>
      </c>
      <c r="E18" s="66" t="s">
        <v>207</v>
      </c>
      <c r="F18" s="66" t="s">
        <v>208</v>
      </c>
      <c r="G18" s="66" t="s">
        <v>209</v>
      </c>
      <c r="H18" s="66" t="s">
        <v>210</v>
      </c>
      <c r="I18" s="66" t="s">
        <v>142</v>
      </c>
      <c r="J18" s="66" t="s">
        <v>106</v>
      </c>
      <c r="K18" s="66" t="s">
        <v>211</v>
      </c>
      <c r="L18" s="66" t="s">
        <v>142</v>
      </c>
      <c r="M18" s="66" t="s">
        <v>108</v>
      </c>
      <c r="N18" s="54"/>
      <c r="XFD18" s="53"/>
    </row>
    <row r="19" s="53" customFormat="true" ht="52" hidden="false" customHeight="false" outlineLevel="0" collapsed="false">
      <c r="A19" s="71" t="s">
        <v>212</v>
      </c>
      <c r="B19" s="71" t="s">
        <v>110</v>
      </c>
      <c r="C19" s="73" t="s">
        <v>213</v>
      </c>
      <c r="D19" s="71" t="s">
        <v>213</v>
      </c>
      <c r="E19" s="73" t="s">
        <v>214</v>
      </c>
      <c r="F19" s="73" t="s">
        <v>215</v>
      </c>
      <c r="G19" s="73" t="s">
        <v>216</v>
      </c>
      <c r="H19" s="73" t="s">
        <v>217</v>
      </c>
      <c r="I19" s="73" t="s">
        <v>125</v>
      </c>
      <c r="J19" s="73" t="s">
        <v>149</v>
      </c>
      <c r="K19" s="73" t="s">
        <v>218</v>
      </c>
      <c r="L19" s="73" t="s">
        <v>125</v>
      </c>
      <c r="M19" s="73" t="s">
        <v>219</v>
      </c>
      <c r="N19" s="54"/>
    </row>
    <row r="20" s="53" customFormat="true" ht="52" hidden="false" customHeight="false" outlineLevel="0" collapsed="false">
      <c r="A20" s="68" t="s">
        <v>220</v>
      </c>
      <c r="B20" s="68" t="s">
        <v>110</v>
      </c>
      <c r="C20" s="70" t="s">
        <v>221</v>
      </c>
      <c r="D20" s="68" t="s">
        <v>221</v>
      </c>
      <c r="E20" s="70" t="s">
        <v>222</v>
      </c>
      <c r="F20" s="70" t="s">
        <v>223</v>
      </c>
      <c r="G20" s="70" t="s">
        <v>224</v>
      </c>
      <c r="H20" s="70" t="s">
        <v>225</v>
      </c>
      <c r="I20" s="70" t="s">
        <v>125</v>
      </c>
      <c r="J20" s="70" t="s">
        <v>125</v>
      </c>
      <c r="K20" s="70" t="s">
        <v>226</v>
      </c>
      <c r="L20" s="70" t="s">
        <v>118</v>
      </c>
      <c r="M20" s="70" t="s">
        <v>127</v>
      </c>
      <c r="N20" s="54"/>
      <c r="XFD20" s="67"/>
    </row>
    <row r="21" s="67" customFormat="true" ht="52" hidden="false" customHeight="false" outlineLevel="0" collapsed="false">
      <c r="A21" s="64" t="s">
        <v>227</v>
      </c>
      <c r="B21" s="64" t="s">
        <v>101</v>
      </c>
      <c r="C21" s="64"/>
      <c r="D21" s="64" t="n">
        <v>5</v>
      </c>
      <c r="E21" s="65" t="s">
        <v>228</v>
      </c>
      <c r="F21" s="66" t="s">
        <v>229</v>
      </c>
      <c r="G21" s="66" t="s">
        <v>230</v>
      </c>
      <c r="H21" s="66" t="s">
        <v>231</v>
      </c>
      <c r="I21" s="64" t="n">
        <v>18</v>
      </c>
      <c r="J21" s="64" t="s">
        <v>232</v>
      </c>
      <c r="K21" s="65" t="s">
        <v>233</v>
      </c>
      <c r="L21" s="64" t="n">
        <v>18</v>
      </c>
      <c r="M21" s="64" t="s">
        <v>234</v>
      </c>
      <c r="N21" s="54"/>
      <c r="XFD21" s="52"/>
    </row>
    <row r="22" customFormat="false" ht="52" hidden="false" customHeight="false" outlineLevel="0" collapsed="false">
      <c r="A22" s="68" t="s">
        <v>235</v>
      </c>
      <c r="B22" s="68" t="s">
        <v>110</v>
      </c>
      <c r="C22" s="68"/>
      <c r="D22" s="68" t="s">
        <v>236</v>
      </c>
      <c r="E22" s="69" t="s">
        <v>228</v>
      </c>
      <c r="F22" s="70" t="s">
        <v>237</v>
      </c>
      <c r="G22" s="70" t="s">
        <v>238</v>
      </c>
      <c r="H22" s="70" t="s">
        <v>239</v>
      </c>
      <c r="I22" s="68" t="n">
        <v>5</v>
      </c>
      <c r="J22" s="68" t="s">
        <v>116</v>
      </c>
      <c r="K22" s="69" t="s">
        <v>240</v>
      </c>
      <c r="L22" s="68" t="n">
        <v>5</v>
      </c>
      <c r="M22" s="68" t="s">
        <v>118</v>
      </c>
    </row>
    <row r="23" customFormat="false" ht="52" hidden="false" customHeight="false" outlineLevel="0" collapsed="false">
      <c r="A23" s="71" t="s">
        <v>241</v>
      </c>
      <c r="B23" s="71" t="s">
        <v>110</v>
      </c>
      <c r="C23" s="71"/>
      <c r="D23" s="71" t="s">
        <v>242</v>
      </c>
      <c r="E23" s="72" t="s">
        <v>243</v>
      </c>
      <c r="F23" s="73" t="s">
        <v>244</v>
      </c>
      <c r="G23" s="73" t="s">
        <v>245</v>
      </c>
      <c r="H23" s="73" t="s">
        <v>246</v>
      </c>
      <c r="I23" s="71" t="n">
        <v>5</v>
      </c>
      <c r="J23" s="71" t="s">
        <v>234</v>
      </c>
      <c r="K23" s="72" t="s">
        <v>247</v>
      </c>
      <c r="L23" s="71" t="n">
        <v>5</v>
      </c>
      <c r="M23" s="71" t="s">
        <v>248</v>
      </c>
      <c r="XFD23" s="67"/>
    </row>
    <row r="24" s="67" customFormat="true" ht="52" hidden="false" customHeight="false" outlineLevel="0" collapsed="false">
      <c r="A24" s="64" t="s">
        <v>249</v>
      </c>
      <c r="B24" s="64" t="s">
        <v>101</v>
      </c>
      <c r="C24" s="64"/>
      <c r="D24" s="64" t="n">
        <v>6</v>
      </c>
      <c r="E24" s="65" t="s">
        <v>250</v>
      </c>
      <c r="F24" s="66" t="s">
        <v>251</v>
      </c>
      <c r="G24" s="66" t="s">
        <v>252</v>
      </c>
      <c r="H24" s="66" t="s">
        <v>253</v>
      </c>
      <c r="I24" s="64" t="n">
        <v>16</v>
      </c>
      <c r="J24" s="64" t="s">
        <v>254</v>
      </c>
      <c r="K24" s="65" t="s">
        <v>255</v>
      </c>
      <c r="L24" s="64" t="n">
        <v>16</v>
      </c>
      <c r="M24" s="64" t="s">
        <v>256</v>
      </c>
      <c r="N24" s="54"/>
      <c r="XFD24" s="75"/>
    </row>
    <row r="25" s="75" customFormat="true" ht="39.5" hidden="false" customHeight="false" outlineLevel="0" collapsed="false">
      <c r="A25" s="71" t="s">
        <v>257</v>
      </c>
      <c r="B25" s="71" t="s">
        <v>110</v>
      </c>
      <c r="C25" s="71"/>
      <c r="D25" s="71" t="s">
        <v>258</v>
      </c>
      <c r="E25" s="72" t="s">
        <v>259</v>
      </c>
      <c r="F25" s="73" t="s">
        <v>260</v>
      </c>
      <c r="G25" s="73" t="s">
        <v>261</v>
      </c>
      <c r="H25" s="73" t="s">
        <v>262</v>
      </c>
      <c r="I25" s="71" t="n">
        <v>5</v>
      </c>
      <c r="J25" s="71" t="s">
        <v>125</v>
      </c>
      <c r="K25" s="72" t="s">
        <v>263</v>
      </c>
      <c r="L25" s="71" t="n">
        <v>5</v>
      </c>
      <c r="M25" s="71" t="s">
        <v>118</v>
      </c>
      <c r="N25" s="54"/>
      <c r="XFD25" s="52"/>
    </row>
    <row r="26" customFormat="false" ht="52" hidden="false" customHeight="false" outlineLevel="0" collapsed="false">
      <c r="A26" s="68" t="s">
        <v>264</v>
      </c>
      <c r="B26" s="68" t="s">
        <v>110</v>
      </c>
      <c r="C26" s="68"/>
      <c r="D26" s="68" t="s">
        <v>265</v>
      </c>
      <c r="E26" s="69" t="s">
        <v>259</v>
      </c>
      <c r="F26" s="70" t="s">
        <v>266</v>
      </c>
      <c r="G26" s="70" t="s">
        <v>267</v>
      </c>
      <c r="H26" s="70" t="s">
        <v>268</v>
      </c>
      <c r="I26" s="68" t="n">
        <v>4</v>
      </c>
      <c r="J26" s="68" t="s">
        <v>125</v>
      </c>
      <c r="K26" s="69" t="s">
        <v>269</v>
      </c>
      <c r="L26" s="68" t="n">
        <v>4</v>
      </c>
      <c r="M26" s="68" t="s">
        <v>118</v>
      </c>
      <c r="XFD26" s="75"/>
    </row>
    <row r="27" s="75" customFormat="true" ht="52" hidden="false" customHeight="false" outlineLevel="0" collapsed="false">
      <c r="A27" s="71" t="s">
        <v>270</v>
      </c>
      <c r="B27" s="71" t="s">
        <v>110</v>
      </c>
      <c r="C27" s="71"/>
      <c r="D27" s="71" t="s">
        <v>271</v>
      </c>
      <c r="E27" s="72" t="s">
        <v>259</v>
      </c>
      <c r="F27" s="73" t="s">
        <v>272</v>
      </c>
      <c r="G27" s="73" t="s">
        <v>273</v>
      </c>
      <c r="H27" s="73" t="s">
        <v>274</v>
      </c>
      <c r="I27" s="71" t="n">
        <v>4</v>
      </c>
      <c r="J27" s="71" t="s">
        <v>125</v>
      </c>
      <c r="K27" s="72" t="s">
        <v>275</v>
      </c>
      <c r="L27" s="71" t="n">
        <v>4</v>
      </c>
      <c r="M27" s="71" t="s">
        <v>118</v>
      </c>
      <c r="N27" s="54"/>
      <c r="XFD27" s="52"/>
    </row>
    <row r="28" customFormat="false" ht="39.5" hidden="false" customHeight="false" outlineLevel="0" collapsed="false">
      <c r="A28" s="68" t="s">
        <v>276</v>
      </c>
      <c r="B28" s="68" t="s">
        <v>110</v>
      </c>
      <c r="C28" s="68"/>
      <c r="D28" s="68" t="s">
        <v>277</v>
      </c>
      <c r="E28" s="69" t="s">
        <v>259</v>
      </c>
      <c r="F28" s="70" t="s">
        <v>278</v>
      </c>
      <c r="G28" s="70" t="s">
        <v>279</v>
      </c>
      <c r="H28" s="70" t="s">
        <v>280</v>
      </c>
      <c r="I28" s="68" t="n">
        <v>3</v>
      </c>
      <c r="J28" s="68" t="s">
        <v>281</v>
      </c>
      <c r="K28" s="69" t="s">
        <v>282</v>
      </c>
      <c r="L28" s="68" t="n">
        <v>3</v>
      </c>
      <c r="M28" s="68" t="s">
        <v>283</v>
      </c>
      <c r="XFD28" s="76"/>
    </row>
    <row r="29" s="76" customFormat="true" ht="52" hidden="false" customHeight="false" outlineLevel="0" collapsed="false">
      <c r="A29" s="71" t="s">
        <v>284</v>
      </c>
      <c r="B29" s="71" t="s">
        <v>110</v>
      </c>
      <c r="C29" s="71"/>
      <c r="D29" s="71" t="s">
        <v>285</v>
      </c>
      <c r="E29" s="72" t="s">
        <v>207</v>
      </c>
      <c r="F29" s="73" t="s">
        <v>286</v>
      </c>
      <c r="G29" s="73" t="s">
        <v>287</v>
      </c>
      <c r="H29" s="73" t="s">
        <v>288</v>
      </c>
      <c r="I29" s="71"/>
      <c r="J29" s="71" t="s">
        <v>125</v>
      </c>
      <c r="K29" s="72" t="s">
        <v>289</v>
      </c>
      <c r="L29" s="71"/>
      <c r="M29" s="71" t="s">
        <v>127</v>
      </c>
      <c r="N29" s="54"/>
      <c r="XFD29" s="52"/>
    </row>
    <row r="30" customFormat="false" ht="52" hidden="false" customHeight="false" outlineLevel="0" collapsed="false">
      <c r="A30" s="68" t="s">
        <v>290</v>
      </c>
      <c r="B30" s="68" t="s">
        <v>110</v>
      </c>
      <c r="C30" s="68"/>
      <c r="D30" s="68" t="s">
        <v>291</v>
      </c>
      <c r="E30" s="69" t="s">
        <v>292</v>
      </c>
      <c r="F30" s="70" t="s">
        <v>293</v>
      </c>
      <c r="G30" s="70" t="s">
        <v>294</v>
      </c>
      <c r="H30" s="70" t="s">
        <v>295</v>
      </c>
      <c r="I30" s="68"/>
      <c r="J30" s="68" t="s">
        <v>281</v>
      </c>
      <c r="K30" s="69" t="s">
        <v>296</v>
      </c>
      <c r="L30" s="68"/>
      <c r="M30" s="68" t="s">
        <v>283</v>
      </c>
      <c r="XFD30" s="76"/>
    </row>
    <row r="31" s="76" customFormat="true" ht="52" hidden="false" customHeight="false" outlineLevel="0" collapsed="false">
      <c r="A31" s="71" t="s">
        <v>297</v>
      </c>
      <c r="B31" s="71" t="s">
        <v>110</v>
      </c>
      <c r="C31" s="71"/>
      <c r="D31" s="71" t="s">
        <v>298</v>
      </c>
      <c r="E31" s="72" t="s">
        <v>299</v>
      </c>
      <c r="F31" s="73" t="s">
        <v>300</v>
      </c>
      <c r="G31" s="73" t="s">
        <v>301</v>
      </c>
      <c r="H31" s="73" t="s">
        <v>302</v>
      </c>
      <c r="I31" s="71" t="n">
        <v>5</v>
      </c>
      <c r="J31" s="71" t="s">
        <v>281</v>
      </c>
      <c r="K31" s="72" t="s">
        <v>303</v>
      </c>
      <c r="L31" s="71" t="n">
        <v>5</v>
      </c>
      <c r="M31" s="71" t="s">
        <v>118</v>
      </c>
      <c r="N31" s="54"/>
      <c r="XFD31" s="77"/>
    </row>
    <row r="32" s="77" customFormat="true" ht="52" hidden="false" customHeight="false" outlineLevel="0" collapsed="false">
      <c r="A32" s="64" t="s">
        <v>304</v>
      </c>
      <c r="B32" s="64" t="s">
        <v>101</v>
      </c>
      <c r="C32" s="64"/>
      <c r="D32" s="64" t="n">
        <v>7</v>
      </c>
      <c r="E32" s="65" t="s">
        <v>305</v>
      </c>
      <c r="F32" s="66" t="s">
        <v>306</v>
      </c>
      <c r="G32" s="66" t="s">
        <v>307</v>
      </c>
      <c r="H32" s="66" t="s">
        <v>308</v>
      </c>
      <c r="I32" s="64" t="n">
        <v>16</v>
      </c>
      <c r="J32" s="64" t="s">
        <v>309</v>
      </c>
      <c r="K32" s="65" t="s">
        <v>310</v>
      </c>
      <c r="L32" s="64" t="n">
        <v>16</v>
      </c>
      <c r="M32" s="64" t="s">
        <v>311</v>
      </c>
      <c r="N32" s="54"/>
      <c r="XFD32" s="52"/>
    </row>
    <row r="33" customFormat="false" ht="39.5" hidden="false" customHeight="false" outlineLevel="0" collapsed="false">
      <c r="A33" s="68" t="s">
        <v>312</v>
      </c>
      <c r="B33" s="68" t="s">
        <v>110</v>
      </c>
      <c r="C33" s="68"/>
      <c r="D33" s="68" t="s">
        <v>313</v>
      </c>
      <c r="E33" s="69" t="s">
        <v>145</v>
      </c>
      <c r="F33" s="70" t="s">
        <v>314</v>
      </c>
      <c r="G33" s="70" t="s">
        <v>315</v>
      </c>
      <c r="H33" s="70" t="s">
        <v>316</v>
      </c>
      <c r="I33" s="68" t="n">
        <v>5</v>
      </c>
      <c r="J33" s="68" t="s">
        <v>116</v>
      </c>
      <c r="K33" s="69" t="s">
        <v>317</v>
      </c>
      <c r="L33" s="68" t="n">
        <v>5</v>
      </c>
      <c r="M33" s="68" t="s">
        <v>118</v>
      </c>
      <c r="XFD33" s="75"/>
    </row>
    <row r="34" s="75" customFormat="true" ht="39.5" hidden="false" customHeight="false" outlineLevel="0" collapsed="false">
      <c r="A34" s="71" t="s">
        <v>318</v>
      </c>
      <c r="B34" s="71" t="s">
        <v>110</v>
      </c>
      <c r="C34" s="71"/>
      <c r="D34" s="71" t="s">
        <v>319</v>
      </c>
      <c r="E34" s="72" t="s">
        <v>320</v>
      </c>
      <c r="F34" s="73" t="s">
        <v>321</v>
      </c>
      <c r="G34" s="73" t="s">
        <v>322</v>
      </c>
      <c r="H34" s="73" t="s">
        <v>323</v>
      </c>
      <c r="I34" s="71" t="n">
        <v>4</v>
      </c>
      <c r="J34" s="71" t="s">
        <v>116</v>
      </c>
      <c r="K34" s="72" t="s">
        <v>324</v>
      </c>
      <c r="L34" s="71" t="n">
        <v>4</v>
      </c>
      <c r="M34" s="71" t="s">
        <v>118</v>
      </c>
      <c r="N34" s="54"/>
      <c r="XFD34" s="52"/>
    </row>
    <row r="35" customFormat="false" ht="39.5" hidden="false" customHeight="false" outlineLevel="0" collapsed="false">
      <c r="A35" s="68" t="s">
        <v>325</v>
      </c>
      <c r="B35" s="68" t="s">
        <v>110</v>
      </c>
      <c r="C35" s="68"/>
      <c r="D35" s="68" t="s">
        <v>326</v>
      </c>
      <c r="E35" s="69" t="s">
        <v>145</v>
      </c>
      <c r="F35" s="70" t="s">
        <v>327</v>
      </c>
      <c r="G35" s="70" t="s">
        <v>328</v>
      </c>
      <c r="H35" s="70" t="s">
        <v>329</v>
      </c>
      <c r="I35" s="68" t="n">
        <v>4</v>
      </c>
      <c r="J35" s="68" t="s">
        <v>330</v>
      </c>
      <c r="K35" s="69" t="s">
        <v>331</v>
      </c>
      <c r="L35" s="68" t="n">
        <v>4</v>
      </c>
      <c r="M35" s="68" t="s">
        <v>283</v>
      </c>
      <c r="XFD35" s="75"/>
    </row>
    <row r="36" s="75" customFormat="true" ht="52" hidden="false" customHeight="false" outlineLevel="0" collapsed="false">
      <c r="A36" s="71" t="s">
        <v>332</v>
      </c>
      <c r="B36" s="71" t="s">
        <v>110</v>
      </c>
      <c r="C36" s="71"/>
      <c r="D36" s="71" t="s">
        <v>333</v>
      </c>
      <c r="E36" s="72" t="s">
        <v>166</v>
      </c>
      <c r="F36" s="73" t="s">
        <v>334</v>
      </c>
      <c r="G36" s="73" t="s">
        <v>335</v>
      </c>
      <c r="H36" s="73" t="s">
        <v>336</v>
      </c>
      <c r="I36" s="71" t="n">
        <v>3</v>
      </c>
      <c r="J36" s="71" t="s">
        <v>248</v>
      </c>
      <c r="K36" s="72" t="s">
        <v>337</v>
      </c>
      <c r="L36" s="71" t="n">
        <v>3</v>
      </c>
      <c r="M36" s="71" t="s">
        <v>203</v>
      </c>
      <c r="N36" s="54"/>
      <c r="XFD36" s="67"/>
    </row>
    <row r="37" s="67" customFormat="true" ht="64.5" hidden="false" customHeight="false" outlineLevel="0" collapsed="false">
      <c r="A37" s="64" t="s">
        <v>338</v>
      </c>
      <c r="B37" s="64" t="s">
        <v>101</v>
      </c>
      <c r="C37" s="64"/>
      <c r="D37" s="64" t="n">
        <v>8</v>
      </c>
      <c r="E37" s="65" t="s">
        <v>339</v>
      </c>
      <c r="F37" s="66" t="s">
        <v>340</v>
      </c>
      <c r="G37" s="66" t="s">
        <v>341</v>
      </c>
      <c r="H37" s="66" t="s">
        <v>342</v>
      </c>
      <c r="I37" s="64" t="n">
        <v>14</v>
      </c>
      <c r="J37" s="64" t="s">
        <v>106</v>
      </c>
      <c r="K37" s="65" t="s">
        <v>343</v>
      </c>
      <c r="L37" s="64" t="n">
        <v>14</v>
      </c>
      <c r="M37" s="64" t="s">
        <v>108</v>
      </c>
      <c r="N37" s="54"/>
      <c r="XFD37" s="75"/>
    </row>
    <row r="38" s="75" customFormat="true" ht="39.5" hidden="false" customHeight="false" outlineLevel="0" collapsed="false">
      <c r="A38" s="71" t="s">
        <v>344</v>
      </c>
      <c r="B38" s="71" t="s">
        <v>110</v>
      </c>
      <c r="C38" s="71"/>
      <c r="D38" s="71" t="s">
        <v>345</v>
      </c>
      <c r="E38" s="72" t="s">
        <v>112</v>
      </c>
      <c r="F38" s="73" t="s">
        <v>346</v>
      </c>
      <c r="G38" s="73" t="s">
        <v>347</v>
      </c>
      <c r="H38" s="73" t="s">
        <v>348</v>
      </c>
      <c r="I38" s="71" t="n">
        <v>5</v>
      </c>
      <c r="J38" s="71" t="s">
        <v>177</v>
      </c>
      <c r="K38" s="72" t="s">
        <v>349</v>
      </c>
      <c r="L38" s="71" t="n">
        <v>5</v>
      </c>
      <c r="M38" s="71" t="s">
        <v>350</v>
      </c>
      <c r="N38" s="54"/>
      <c r="XFD38" s="52"/>
    </row>
    <row r="39" customFormat="false" ht="39.5" hidden="false" customHeight="false" outlineLevel="0" collapsed="false">
      <c r="A39" s="68" t="s">
        <v>351</v>
      </c>
      <c r="B39" s="68" t="s">
        <v>110</v>
      </c>
      <c r="C39" s="68"/>
      <c r="D39" s="68" t="s">
        <v>352</v>
      </c>
      <c r="E39" s="69" t="s">
        <v>353</v>
      </c>
      <c r="F39" s="70" t="s">
        <v>354</v>
      </c>
      <c r="G39" s="70" t="s">
        <v>355</v>
      </c>
      <c r="H39" s="70" t="s">
        <v>356</v>
      </c>
      <c r="I39" s="68" t="n">
        <v>4</v>
      </c>
      <c r="J39" s="68" t="s">
        <v>116</v>
      </c>
      <c r="K39" s="69" t="s">
        <v>357</v>
      </c>
      <c r="L39" s="68" t="n">
        <v>4</v>
      </c>
      <c r="M39" s="68" t="s">
        <v>118</v>
      </c>
      <c r="XFD39" s="78"/>
    </row>
    <row r="40" s="78" customFormat="true" ht="64.5" hidden="false" customHeight="false" outlineLevel="0" collapsed="false">
      <c r="A40" s="79"/>
      <c r="B40" s="79"/>
      <c r="C40" s="79"/>
      <c r="D40" s="79"/>
      <c r="E40" s="80"/>
      <c r="F40" s="81"/>
      <c r="G40" s="81"/>
      <c r="H40" s="81"/>
      <c r="I40" s="79"/>
      <c r="J40" s="82" t="s">
        <v>358</v>
      </c>
      <c r="K40" s="80"/>
      <c r="L40" s="79"/>
      <c r="M40" s="83" t="s">
        <v>359</v>
      </c>
      <c r="N40" s="84"/>
      <c r="XFD40" s="52"/>
    </row>
    <row r="41" customFormat="false" ht="23.95" hidden="false" customHeight="true" outlineLevel="0" collapsed="false">
      <c r="A41" s="68"/>
      <c r="B41" s="68"/>
      <c r="C41" s="68"/>
      <c r="D41" s="68"/>
      <c r="E41" s="68"/>
      <c r="F41" s="68"/>
      <c r="G41" s="68"/>
      <c r="H41" s="68"/>
      <c r="I41" s="68"/>
      <c r="J41" s="68"/>
      <c r="K41" s="68"/>
      <c r="L41" s="68"/>
      <c r="M41" s="68"/>
    </row>
    <row r="42" customFormat="false" ht="13.8" hidden="false" customHeight="true" outlineLevel="0" collapsed="false">
      <c r="A42" s="85" t="s">
        <v>360</v>
      </c>
      <c r="B42" s="85"/>
      <c r="C42" s="85"/>
      <c r="D42" s="85"/>
      <c r="E42" s="85"/>
      <c r="F42" s="85"/>
      <c r="G42" s="85"/>
      <c r="H42" s="85"/>
      <c r="I42" s="85"/>
      <c r="J42" s="85"/>
      <c r="K42" s="85"/>
      <c r="L42" s="85"/>
      <c r="M42" s="85"/>
    </row>
    <row r="43" customFormat="false" ht="27" hidden="false" customHeight="true" outlineLevel="0" collapsed="false">
      <c r="A43" s="86" t="s">
        <v>361</v>
      </c>
      <c r="B43" s="86"/>
      <c r="C43" s="86"/>
      <c r="D43" s="86"/>
      <c r="E43" s="86"/>
      <c r="F43" s="86"/>
      <c r="G43" s="86"/>
      <c r="H43" s="86"/>
      <c r="I43" s="86"/>
      <c r="J43" s="86"/>
      <c r="K43" s="86"/>
      <c r="L43" s="86"/>
      <c r="M43" s="86"/>
    </row>
    <row r="44" customFormat="false" ht="25.85" hidden="false" customHeight="true" outlineLevel="0" collapsed="false">
      <c r="A44" s="86" t="s">
        <v>362</v>
      </c>
      <c r="B44" s="86"/>
      <c r="C44" s="86"/>
      <c r="D44" s="86"/>
      <c r="E44" s="86"/>
      <c r="F44" s="86"/>
      <c r="G44" s="86"/>
      <c r="H44" s="86"/>
      <c r="I44" s="86"/>
      <c r="J44" s="86"/>
      <c r="K44" s="86"/>
      <c r="L44" s="86"/>
      <c r="M44" s="86"/>
    </row>
  </sheetData>
  <autoFilter ref="A3:K40"/>
  <mergeCells count="6">
    <mergeCell ref="E1:I1"/>
    <mergeCell ref="A2:M2"/>
    <mergeCell ref="A41:M41"/>
    <mergeCell ref="A42:M42"/>
    <mergeCell ref="A43:M43"/>
    <mergeCell ref="A44:M44"/>
  </mergeCells>
  <printOptions headings="false" gridLines="false" gridLinesSet="true" horizontalCentered="false" verticalCentered="false"/>
  <pageMargins left="0.708333333333333" right="0.708333333333333" top="0.747916666666667" bottom="0.747916666666667" header="0.511811023622047" footer="0.511811023622047"/>
  <pageSetup paperSize="1" scale="53"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S33"/>
  <sheetViews>
    <sheetView showFormulas="false" showGridLines="false" showRowColHeaders="true" showZeros="true" rightToLeft="false" tabSelected="true" showOutlineSymbols="true" defaultGridColor="true" view="pageBreakPreview" topLeftCell="A9" colorId="64" zoomScale="85" zoomScaleNormal="75" zoomScalePageLayoutView="85" workbookViewId="0">
      <selection pane="topLeft" activeCell="X26" activeCellId="0" sqref="X26"/>
    </sheetView>
  </sheetViews>
  <sheetFormatPr defaultColWidth="11.43359375" defaultRowHeight="14.25" customHeight="false" zeroHeight="false" outlineLevelRow="0" outlineLevelCol="0"/>
  <cols>
    <col collapsed="false" customWidth="true" hidden="false" outlineLevel="0" max="1" min="1" style="1" width="21.43"/>
    <col collapsed="false" customWidth="true" hidden="false" outlineLevel="0" max="9" min="2" style="1" width="3.57"/>
    <col collapsed="false" customWidth="true" hidden="false" outlineLevel="0" max="10" min="10" style="1" width="5.71"/>
    <col collapsed="false" customWidth="true" hidden="false" outlineLevel="0" max="17" min="11" style="1" width="3.57"/>
    <col collapsed="false" customWidth="true" hidden="false" outlineLevel="0" max="18" min="18" style="1" width="1.71"/>
    <col collapsed="false" customWidth="true" hidden="false" outlineLevel="0" max="20" min="19" style="1" width="0.29"/>
    <col collapsed="false" customWidth="false" hidden="false" outlineLevel="0" max="16384" min="21" style="1" width="11.43"/>
  </cols>
  <sheetData>
    <row r="2" customFormat="false" ht="15" hidden="false" customHeight="true" outlineLevel="0" collapsed="false">
      <c r="A2" s="16" t="s">
        <v>363</v>
      </c>
      <c r="B2" s="16"/>
      <c r="C2" s="16"/>
      <c r="D2" s="16"/>
      <c r="E2" s="16"/>
      <c r="F2" s="16"/>
      <c r="G2" s="16"/>
      <c r="H2" s="16"/>
      <c r="I2" s="16"/>
      <c r="J2" s="16"/>
      <c r="K2" s="16"/>
      <c r="L2" s="16"/>
      <c r="M2" s="16"/>
      <c r="N2" s="16"/>
      <c r="O2" s="16"/>
      <c r="P2" s="16"/>
      <c r="Q2" s="16"/>
      <c r="R2" s="16"/>
      <c r="S2" s="16"/>
    </row>
    <row r="3" customFormat="false" ht="15" hidden="false" customHeight="false" outlineLevel="0" collapsed="false">
      <c r="A3" s="87"/>
      <c r="B3" s="88"/>
      <c r="C3" s="88"/>
      <c r="D3" s="88"/>
      <c r="E3" s="88"/>
      <c r="F3" s="88"/>
      <c r="G3" s="88"/>
      <c r="H3" s="88"/>
      <c r="I3" s="88"/>
      <c r="J3" s="88"/>
      <c r="K3" s="88"/>
      <c r="L3" s="88"/>
      <c r="M3" s="88"/>
      <c r="N3" s="88"/>
      <c r="O3" s="88"/>
      <c r="P3" s="88"/>
      <c r="Q3" s="88"/>
      <c r="R3" s="88"/>
      <c r="S3" s="89"/>
    </row>
    <row r="4" customFormat="false" ht="15" hidden="false" customHeight="false" outlineLevel="0" collapsed="false">
      <c r="A4" s="90"/>
      <c r="B4" s="91" t="s">
        <v>364</v>
      </c>
      <c r="C4" s="91"/>
      <c r="D4" s="91"/>
      <c r="E4" s="91"/>
      <c r="F4" s="91"/>
      <c r="G4" s="91"/>
      <c r="H4" s="91"/>
      <c r="I4" s="91"/>
      <c r="J4" s="91"/>
      <c r="K4" s="91"/>
      <c r="L4" s="91"/>
      <c r="M4" s="91"/>
      <c r="N4" s="91"/>
      <c r="O4" s="91"/>
      <c r="P4" s="91"/>
      <c r="Q4" s="91"/>
      <c r="R4" s="92"/>
      <c r="S4" s="93"/>
    </row>
    <row r="5" customFormat="false" ht="15" hidden="false" customHeight="false" outlineLevel="0" collapsed="false">
      <c r="A5" s="94" t="s">
        <v>365</v>
      </c>
      <c r="B5" s="95" t="s">
        <v>366</v>
      </c>
      <c r="C5" s="95"/>
      <c r="D5" s="95" t="s">
        <v>367</v>
      </c>
      <c r="E5" s="95"/>
      <c r="F5" s="95" t="s">
        <v>368</v>
      </c>
      <c r="G5" s="95"/>
      <c r="H5" s="95" t="s">
        <v>369</v>
      </c>
      <c r="I5" s="95"/>
      <c r="J5" s="95" t="s">
        <v>370</v>
      </c>
      <c r="K5" s="95"/>
      <c r="L5" s="95" t="s">
        <v>371</v>
      </c>
      <c r="M5" s="95"/>
      <c r="N5" s="95" t="s">
        <v>372</v>
      </c>
      <c r="O5" s="95"/>
      <c r="P5" s="96" t="s">
        <v>373</v>
      </c>
      <c r="Q5" s="96"/>
      <c r="R5" s="92"/>
      <c r="S5" s="93"/>
    </row>
    <row r="6" customFormat="false" ht="15" hidden="false" customHeight="false" outlineLevel="0" collapsed="false">
      <c r="A6" s="94" t="s">
        <v>374</v>
      </c>
      <c r="B6" s="97" t="n">
        <v>1</v>
      </c>
      <c r="C6" s="98" t="n">
        <v>2</v>
      </c>
      <c r="D6" s="97" t="n">
        <v>3</v>
      </c>
      <c r="E6" s="98" t="n">
        <v>4</v>
      </c>
      <c r="F6" s="99" t="n">
        <v>5</v>
      </c>
      <c r="G6" s="100" t="n">
        <v>6</v>
      </c>
      <c r="H6" s="99" t="n">
        <v>7</v>
      </c>
      <c r="I6" s="100" t="n">
        <v>8</v>
      </c>
      <c r="J6" s="101" t="n">
        <v>9</v>
      </c>
      <c r="K6" s="102" t="n">
        <v>10</v>
      </c>
      <c r="L6" s="101" t="n">
        <v>11</v>
      </c>
      <c r="M6" s="102" t="n">
        <v>12</v>
      </c>
      <c r="N6" s="103" t="n">
        <v>13</v>
      </c>
      <c r="O6" s="104" t="n">
        <v>14</v>
      </c>
      <c r="P6" s="105" t="n">
        <v>15</v>
      </c>
      <c r="Q6" s="106" t="n">
        <v>16</v>
      </c>
      <c r="R6" s="92"/>
      <c r="S6" s="93"/>
    </row>
    <row r="7" customFormat="false" ht="15" hidden="false" customHeight="false" outlineLevel="0" collapsed="false">
      <c r="A7" s="94" t="s">
        <v>375</v>
      </c>
      <c r="B7" s="92"/>
      <c r="C7" s="92"/>
      <c r="D7" s="92"/>
      <c r="E7" s="107" t="n">
        <v>100</v>
      </c>
      <c r="F7" s="107"/>
      <c r="G7" s="92"/>
      <c r="H7" s="92"/>
      <c r="I7" s="15" t="n">
        <v>300</v>
      </c>
      <c r="J7" s="15"/>
      <c r="K7" s="108"/>
      <c r="L7" s="108"/>
      <c r="M7" s="107" t="n">
        <v>200</v>
      </c>
      <c r="N7" s="107"/>
      <c r="O7" s="109" t="n">
        <v>400</v>
      </c>
      <c r="P7" s="109"/>
      <c r="Q7" s="92"/>
      <c r="R7" s="92"/>
      <c r="S7" s="93"/>
    </row>
    <row r="8" customFormat="false" ht="15" hidden="false" customHeight="false" outlineLevel="0" collapsed="false">
      <c r="A8" s="90"/>
      <c r="B8" s="110" t="s">
        <v>376</v>
      </c>
      <c r="C8" s="110"/>
      <c r="D8" s="110"/>
      <c r="E8" s="110"/>
      <c r="F8" s="110"/>
      <c r="G8" s="110"/>
      <c r="H8" s="110"/>
      <c r="I8" s="110"/>
      <c r="J8" s="110"/>
      <c r="K8" s="110"/>
      <c r="L8" s="110"/>
      <c r="M8" s="110"/>
      <c r="N8" s="110"/>
      <c r="O8" s="110"/>
      <c r="P8" s="110"/>
      <c r="Q8" s="92"/>
      <c r="R8" s="92"/>
      <c r="S8" s="93"/>
    </row>
    <row r="9" customFormat="false" ht="15" hidden="false" customHeight="false" outlineLevel="0" collapsed="false">
      <c r="A9" s="94" t="s">
        <v>365</v>
      </c>
      <c r="B9" s="95" t="s">
        <v>366</v>
      </c>
      <c r="C9" s="95"/>
      <c r="D9" s="95"/>
      <c r="E9" s="95" t="s">
        <v>367</v>
      </c>
      <c r="F9" s="95"/>
      <c r="G9" s="95"/>
      <c r="H9" s="95" t="s">
        <v>368</v>
      </c>
      <c r="I9" s="95"/>
      <c r="J9" s="95"/>
      <c r="K9" s="95" t="s">
        <v>369</v>
      </c>
      <c r="L9" s="95"/>
      <c r="M9" s="95"/>
      <c r="N9" s="95" t="s">
        <v>370</v>
      </c>
      <c r="O9" s="95"/>
      <c r="P9" s="95"/>
      <c r="Q9" s="92"/>
      <c r="R9" s="92"/>
      <c r="S9" s="93"/>
    </row>
    <row r="10" customFormat="false" ht="15" hidden="false" customHeight="false" outlineLevel="0" collapsed="false">
      <c r="A10" s="94" t="s">
        <v>374</v>
      </c>
      <c r="B10" s="111" t="n">
        <v>1</v>
      </c>
      <c r="C10" s="112" t="n">
        <v>2</v>
      </c>
      <c r="D10" s="113" t="n">
        <v>3</v>
      </c>
      <c r="E10" s="111" t="n">
        <v>4</v>
      </c>
      <c r="F10" s="114" t="n">
        <v>5</v>
      </c>
      <c r="G10" s="100" t="n">
        <v>6</v>
      </c>
      <c r="H10" s="99" t="n">
        <v>7</v>
      </c>
      <c r="I10" s="114" t="n">
        <v>8</v>
      </c>
      <c r="J10" s="100" t="n">
        <v>9</v>
      </c>
      <c r="K10" s="99" t="n">
        <v>10</v>
      </c>
      <c r="L10" s="114" t="n">
        <v>11</v>
      </c>
      <c r="M10" s="102" t="n">
        <v>12</v>
      </c>
      <c r="N10" s="103" t="n">
        <v>13</v>
      </c>
      <c r="O10" s="115" t="n">
        <v>14</v>
      </c>
      <c r="P10" s="116" t="n">
        <v>15</v>
      </c>
      <c r="Q10" s="92"/>
      <c r="R10" s="92"/>
      <c r="S10" s="93"/>
    </row>
    <row r="11" customFormat="false" ht="15" hidden="false" customHeight="false" outlineLevel="0" collapsed="false">
      <c r="A11" s="94" t="s">
        <v>375</v>
      </c>
      <c r="B11" s="92"/>
      <c r="C11" s="92"/>
      <c r="D11" s="15"/>
      <c r="E11" s="117" t="s">
        <v>377</v>
      </c>
      <c r="F11" s="117"/>
      <c r="G11" s="117"/>
      <c r="H11" s="92"/>
      <c r="I11" s="92"/>
      <c r="J11" s="118" t="n">
        <v>300</v>
      </c>
      <c r="K11" s="119" t="s">
        <v>378</v>
      </c>
      <c r="L11" s="119"/>
      <c r="M11" s="119"/>
      <c r="N11" s="120"/>
      <c r="O11" s="92"/>
      <c r="P11" s="109" t="n">
        <v>400</v>
      </c>
      <c r="Q11" s="109"/>
      <c r="R11" s="92"/>
      <c r="S11" s="93"/>
    </row>
    <row r="12" customFormat="false" ht="15" hidden="false" customHeight="false" outlineLevel="0" collapsed="false">
      <c r="A12" s="90"/>
      <c r="B12" s="121" t="s">
        <v>379</v>
      </c>
      <c r="C12" s="121"/>
      <c r="D12" s="121"/>
      <c r="E12" s="121"/>
      <c r="F12" s="121"/>
      <c r="G12" s="121"/>
      <c r="H12" s="121"/>
      <c r="I12" s="121"/>
      <c r="J12" s="121"/>
      <c r="K12" s="121"/>
      <c r="L12" s="121"/>
      <c r="M12" s="121"/>
      <c r="N12" s="121"/>
      <c r="O12" s="121"/>
      <c r="P12" s="121"/>
      <c r="Q12" s="121"/>
      <c r="R12" s="92"/>
      <c r="S12" s="93"/>
    </row>
    <row r="13" customFormat="false" ht="15" hidden="false" customHeight="false" outlineLevel="0" collapsed="false">
      <c r="A13" s="94" t="s">
        <v>365</v>
      </c>
      <c r="B13" s="95" t="s">
        <v>366</v>
      </c>
      <c r="C13" s="95"/>
      <c r="D13" s="95"/>
      <c r="E13" s="95"/>
      <c r="F13" s="95" t="s">
        <v>367</v>
      </c>
      <c r="G13" s="95"/>
      <c r="H13" s="95"/>
      <c r="I13" s="95"/>
      <c r="J13" s="95" t="s">
        <v>368</v>
      </c>
      <c r="K13" s="95"/>
      <c r="L13" s="95"/>
      <c r="M13" s="95"/>
      <c r="N13" s="95" t="s">
        <v>369</v>
      </c>
      <c r="O13" s="95"/>
      <c r="P13" s="95"/>
      <c r="Q13" s="95"/>
      <c r="R13" s="92"/>
      <c r="S13" s="93"/>
    </row>
    <row r="14" customFormat="false" ht="15" hidden="false" customHeight="false" outlineLevel="0" collapsed="false">
      <c r="A14" s="94" t="s">
        <v>374</v>
      </c>
      <c r="B14" s="111" t="n">
        <v>1</v>
      </c>
      <c r="C14" s="112" t="n">
        <v>2</v>
      </c>
      <c r="D14" s="112" t="n">
        <v>3</v>
      </c>
      <c r="E14" s="113" t="n">
        <v>4</v>
      </c>
      <c r="F14" s="111" t="n">
        <v>5</v>
      </c>
      <c r="G14" s="114" t="n">
        <v>6</v>
      </c>
      <c r="H14" s="114" t="n">
        <v>7</v>
      </c>
      <c r="I14" s="100" t="n">
        <v>8</v>
      </c>
      <c r="J14" s="99" t="n">
        <v>9</v>
      </c>
      <c r="K14" s="114" t="n">
        <v>10</v>
      </c>
      <c r="L14" s="114" t="n">
        <v>11</v>
      </c>
      <c r="M14" s="122" t="n">
        <v>12</v>
      </c>
      <c r="N14" s="103" t="n">
        <v>13</v>
      </c>
      <c r="O14" s="115" t="n">
        <v>14</v>
      </c>
      <c r="P14" s="115" t="n">
        <v>15</v>
      </c>
      <c r="Q14" s="116" t="n">
        <v>16</v>
      </c>
      <c r="R14" s="92"/>
      <c r="S14" s="93"/>
    </row>
    <row r="15" customFormat="false" ht="15" hidden="false" customHeight="false" outlineLevel="0" collapsed="false">
      <c r="A15" s="123" t="s">
        <v>375</v>
      </c>
      <c r="B15" s="124"/>
      <c r="C15" s="124"/>
      <c r="D15" s="124"/>
      <c r="E15" s="125" t="s">
        <v>377</v>
      </c>
      <c r="F15" s="125"/>
      <c r="G15" s="125"/>
      <c r="H15" s="124"/>
      <c r="I15" s="107"/>
      <c r="J15" s="107"/>
      <c r="K15" s="124"/>
      <c r="L15" s="126" t="s">
        <v>378</v>
      </c>
      <c r="M15" s="107"/>
      <c r="N15" s="107"/>
      <c r="O15" s="124"/>
      <c r="P15" s="124"/>
      <c r="Q15" s="127" t="n">
        <v>400</v>
      </c>
      <c r="R15" s="127"/>
      <c r="S15" s="128"/>
    </row>
    <row r="17" customFormat="false" ht="15" hidden="false" customHeight="true" outlineLevel="0" collapsed="false">
      <c r="A17" s="129" t="s">
        <v>380</v>
      </c>
      <c r="B17" s="129"/>
      <c r="C17" s="129"/>
      <c r="D17" s="129"/>
      <c r="E17" s="129"/>
      <c r="F17" s="129"/>
      <c r="G17" s="129"/>
      <c r="H17" s="129"/>
      <c r="I17" s="129"/>
      <c r="J17" s="129"/>
      <c r="K17" s="129"/>
      <c r="L17" s="129"/>
      <c r="M17" s="129"/>
      <c r="N17" s="129"/>
      <c r="O17" s="129"/>
      <c r="P17" s="129"/>
      <c r="Q17" s="129"/>
      <c r="R17" s="129"/>
      <c r="S17" s="129"/>
    </row>
    <row r="18" customFormat="false" ht="75" hidden="false" customHeight="true" outlineLevel="0" collapsed="false">
      <c r="A18" s="130" t="s">
        <v>381</v>
      </c>
      <c r="B18" s="130"/>
      <c r="C18" s="130"/>
      <c r="D18" s="130"/>
      <c r="E18" s="130"/>
      <c r="F18" s="130"/>
      <c r="G18" s="130"/>
      <c r="H18" s="130"/>
      <c r="I18" s="130"/>
      <c r="J18" s="130"/>
      <c r="K18" s="130"/>
      <c r="L18" s="130"/>
      <c r="M18" s="130"/>
      <c r="N18" s="130"/>
      <c r="O18" s="130"/>
      <c r="P18" s="130"/>
      <c r="Q18" s="130"/>
      <c r="R18" s="130"/>
      <c r="S18" s="130"/>
    </row>
    <row r="19" customFormat="false" ht="93" hidden="false" customHeight="true" outlineLevel="0" collapsed="false">
      <c r="A19" s="131" t="s">
        <v>382</v>
      </c>
      <c r="B19" s="131"/>
      <c r="C19" s="131"/>
      <c r="D19" s="131"/>
      <c r="E19" s="131"/>
      <c r="F19" s="131"/>
      <c r="G19" s="131"/>
      <c r="H19" s="131"/>
      <c r="I19" s="131"/>
      <c r="J19" s="131"/>
      <c r="K19" s="131"/>
      <c r="L19" s="131"/>
      <c r="M19" s="131"/>
      <c r="N19" s="131"/>
      <c r="O19" s="131"/>
      <c r="P19" s="131"/>
      <c r="Q19" s="131"/>
      <c r="R19" s="131"/>
      <c r="S19" s="131"/>
    </row>
    <row r="20" customFormat="false" ht="80.25" hidden="false" customHeight="true" outlineLevel="0" collapsed="false">
      <c r="A20" s="132" t="s">
        <v>383</v>
      </c>
      <c r="B20" s="132"/>
      <c r="C20" s="132"/>
      <c r="D20" s="132"/>
      <c r="E20" s="132"/>
      <c r="F20" s="132"/>
      <c r="G20" s="132"/>
      <c r="H20" s="132"/>
      <c r="I20" s="132"/>
      <c r="J20" s="132"/>
      <c r="K20" s="132"/>
      <c r="L20" s="132"/>
      <c r="M20" s="132"/>
      <c r="N20" s="132"/>
      <c r="O20" s="132"/>
      <c r="P20" s="132"/>
      <c r="Q20" s="132"/>
      <c r="R20" s="132"/>
      <c r="S20" s="132"/>
    </row>
    <row r="21" customFormat="false" ht="73.5" hidden="false" customHeight="true" outlineLevel="0" collapsed="false">
      <c r="A21" s="132" t="s">
        <v>384</v>
      </c>
      <c r="B21" s="132"/>
      <c r="C21" s="132"/>
      <c r="D21" s="132"/>
      <c r="E21" s="132"/>
      <c r="F21" s="132"/>
      <c r="G21" s="132"/>
      <c r="H21" s="132"/>
      <c r="I21" s="132"/>
      <c r="J21" s="132"/>
      <c r="K21" s="132"/>
      <c r="L21" s="132"/>
      <c r="M21" s="132"/>
      <c r="N21" s="132"/>
      <c r="O21" s="132"/>
      <c r="P21" s="132"/>
      <c r="Q21" s="132"/>
      <c r="R21" s="132"/>
      <c r="S21" s="132"/>
    </row>
    <row r="22" customFormat="false" ht="92.25" hidden="false" customHeight="true" outlineLevel="0" collapsed="false">
      <c r="A22" s="133" t="s">
        <v>385</v>
      </c>
      <c r="B22" s="133"/>
      <c r="C22" s="133"/>
      <c r="D22" s="133"/>
      <c r="E22" s="133"/>
      <c r="F22" s="133"/>
      <c r="G22" s="133"/>
      <c r="H22" s="133"/>
      <c r="I22" s="133"/>
      <c r="J22" s="133"/>
      <c r="K22" s="133"/>
      <c r="L22" s="133"/>
      <c r="M22" s="133"/>
      <c r="N22" s="133"/>
      <c r="O22" s="133"/>
      <c r="P22" s="133"/>
      <c r="Q22" s="133"/>
      <c r="R22" s="133"/>
      <c r="S22" s="133"/>
    </row>
    <row r="23" customFormat="false" ht="88.5" hidden="false" customHeight="true" outlineLevel="0" collapsed="false">
      <c r="A23" s="134" t="s">
        <v>386</v>
      </c>
      <c r="B23" s="134"/>
      <c r="C23" s="134"/>
      <c r="D23" s="134"/>
      <c r="E23" s="134"/>
      <c r="F23" s="134"/>
      <c r="G23" s="134"/>
      <c r="H23" s="134"/>
      <c r="I23" s="134"/>
      <c r="J23" s="134"/>
      <c r="K23" s="134"/>
      <c r="L23" s="134"/>
      <c r="M23" s="134"/>
      <c r="N23" s="134"/>
      <c r="O23" s="134"/>
      <c r="P23" s="134"/>
      <c r="Q23" s="134"/>
      <c r="R23" s="134"/>
      <c r="S23" s="134"/>
    </row>
    <row r="24" customFormat="false" ht="43.5" hidden="false" customHeight="true" outlineLevel="0" collapsed="false">
      <c r="A24" s="129" t="s">
        <v>387</v>
      </c>
      <c r="B24" s="129"/>
      <c r="C24" s="129"/>
      <c r="D24" s="129"/>
      <c r="E24" s="129"/>
      <c r="F24" s="129"/>
      <c r="G24" s="129"/>
      <c r="H24" s="129"/>
      <c r="I24" s="129"/>
      <c r="J24" s="129"/>
      <c r="K24" s="129"/>
      <c r="L24" s="129"/>
      <c r="M24" s="129"/>
      <c r="N24" s="129"/>
      <c r="O24" s="129"/>
      <c r="P24" s="129"/>
      <c r="Q24" s="129"/>
      <c r="R24" s="129"/>
      <c r="S24" s="129"/>
    </row>
    <row r="25" customFormat="false" ht="77.25" hidden="false" customHeight="true" outlineLevel="0" collapsed="false">
      <c r="A25" s="130" t="s">
        <v>388</v>
      </c>
      <c r="B25" s="130"/>
      <c r="C25" s="130"/>
      <c r="D25" s="130"/>
      <c r="E25" s="130"/>
      <c r="F25" s="130"/>
      <c r="G25" s="130"/>
      <c r="H25" s="130"/>
      <c r="I25" s="130"/>
      <c r="J25" s="130"/>
      <c r="K25" s="130"/>
      <c r="L25" s="130"/>
      <c r="M25" s="130"/>
      <c r="N25" s="130"/>
      <c r="O25" s="130"/>
      <c r="P25" s="130"/>
      <c r="Q25" s="130"/>
      <c r="R25" s="130"/>
      <c r="S25" s="130"/>
    </row>
    <row r="26" customFormat="false" ht="75.75" hidden="false" customHeight="true" outlineLevel="0" collapsed="false">
      <c r="A26" s="134" t="s">
        <v>389</v>
      </c>
      <c r="B26" s="134"/>
      <c r="C26" s="134"/>
      <c r="D26" s="134"/>
      <c r="E26" s="134"/>
      <c r="F26" s="134"/>
      <c r="G26" s="134"/>
      <c r="H26" s="134"/>
      <c r="I26" s="134"/>
      <c r="J26" s="134"/>
      <c r="K26" s="134"/>
      <c r="L26" s="134"/>
      <c r="M26" s="134"/>
      <c r="N26" s="134"/>
      <c r="O26" s="134"/>
      <c r="P26" s="134"/>
      <c r="Q26" s="134"/>
      <c r="R26" s="134"/>
      <c r="S26" s="134"/>
    </row>
    <row r="27" customFormat="false" ht="154.5" hidden="false" customHeight="true" outlineLevel="0" collapsed="false">
      <c r="A27" s="134" t="s">
        <v>390</v>
      </c>
      <c r="B27" s="134"/>
      <c r="C27" s="134"/>
      <c r="D27" s="134"/>
      <c r="E27" s="134"/>
      <c r="F27" s="134"/>
      <c r="G27" s="134"/>
      <c r="H27" s="134"/>
      <c r="I27" s="134"/>
      <c r="J27" s="134"/>
      <c r="K27" s="134"/>
      <c r="L27" s="134"/>
      <c r="M27" s="134"/>
      <c r="N27" s="134"/>
      <c r="O27" s="134"/>
      <c r="P27" s="134"/>
      <c r="Q27" s="134"/>
      <c r="R27" s="134"/>
      <c r="S27" s="134"/>
    </row>
    <row r="28" customFormat="false" ht="15" hidden="false" customHeight="false" outlineLevel="0" collapsed="false">
      <c r="A28" s="135" t="s">
        <v>391</v>
      </c>
      <c r="B28" s="135"/>
      <c r="C28" s="135"/>
      <c r="D28" s="135"/>
      <c r="E28" s="135"/>
      <c r="F28" s="135"/>
      <c r="G28" s="135"/>
      <c r="H28" s="135"/>
      <c r="I28" s="135"/>
      <c r="J28" s="135"/>
      <c r="K28" s="135"/>
      <c r="L28" s="135"/>
      <c r="M28" s="135"/>
      <c r="N28" s="135"/>
      <c r="O28" s="135"/>
      <c r="P28" s="135"/>
      <c r="Q28" s="135"/>
      <c r="R28" s="135"/>
      <c r="S28" s="135"/>
    </row>
    <row r="29" customFormat="false" ht="56.25" hidden="false" customHeight="true" outlineLevel="0" collapsed="false">
      <c r="A29" s="136" t="s">
        <v>392</v>
      </c>
      <c r="B29" s="136"/>
      <c r="C29" s="136"/>
      <c r="D29" s="136"/>
      <c r="E29" s="136"/>
      <c r="F29" s="136"/>
      <c r="G29" s="136"/>
      <c r="H29" s="136"/>
      <c r="I29" s="136"/>
      <c r="J29" s="136"/>
      <c r="K29" s="136"/>
      <c r="L29" s="136"/>
      <c r="M29" s="136"/>
      <c r="N29" s="136"/>
      <c r="O29" s="136"/>
      <c r="P29" s="136"/>
      <c r="Q29" s="136"/>
      <c r="R29" s="136"/>
      <c r="S29" s="136"/>
    </row>
    <row r="30" customFormat="false" ht="99" hidden="false" customHeight="true" outlineLevel="0" collapsed="false">
      <c r="A30" s="137" t="s">
        <v>393</v>
      </c>
      <c r="B30" s="137"/>
      <c r="C30" s="137"/>
      <c r="D30" s="137"/>
      <c r="E30" s="137"/>
      <c r="F30" s="137"/>
      <c r="G30" s="137"/>
      <c r="H30" s="137"/>
      <c r="I30" s="137"/>
      <c r="J30" s="137"/>
      <c r="K30" s="137"/>
      <c r="L30" s="137"/>
      <c r="M30" s="137"/>
      <c r="N30" s="137"/>
      <c r="O30" s="137"/>
      <c r="P30" s="137"/>
      <c r="Q30" s="137"/>
      <c r="R30" s="137"/>
      <c r="S30" s="137"/>
    </row>
    <row r="31" customFormat="false" ht="112.5" hidden="false" customHeight="true" outlineLevel="0" collapsed="false">
      <c r="A31" s="137" t="s">
        <v>394</v>
      </c>
      <c r="B31" s="137"/>
      <c r="C31" s="137"/>
      <c r="D31" s="137"/>
      <c r="E31" s="137"/>
      <c r="F31" s="137"/>
      <c r="G31" s="137"/>
      <c r="H31" s="137"/>
      <c r="I31" s="137"/>
      <c r="J31" s="137"/>
      <c r="K31" s="137"/>
      <c r="L31" s="137"/>
      <c r="M31" s="137"/>
      <c r="N31" s="137"/>
      <c r="O31" s="137"/>
      <c r="P31" s="137"/>
      <c r="Q31" s="137"/>
      <c r="R31" s="137"/>
      <c r="S31" s="137"/>
    </row>
    <row r="32" customFormat="false" ht="145.5" hidden="false" customHeight="true" outlineLevel="0" collapsed="false">
      <c r="A32" s="138" t="s">
        <v>395</v>
      </c>
      <c r="B32" s="138"/>
      <c r="C32" s="138"/>
      <c r="D32" s="138"/>
      <c r="E32" s="138"/>
      <c r="F32" s="138"/>
      <c r="G32" s="138"/>
      <c r="H32" s="138"/>
      <c r="I32" s="138"/>
      <c r="J32" s="138"/>
      <c r="K32" s="138"/>
      <c r="L32" s="138"/>
      <c r="M32" s="138"/>
      <c r="N32" s="138"/>
      <c r="O32" s="138"/>
      <c r="P32" s="138"/>
      <c r="Q32" s="138"/>
      <c r="R32" s="138"/>
      <c r="S32" s="138"/>
    </row>
    <row r="33" customFormat="false" ht="13.8" hidden="false" customHeight="false" outlineLevel="0" collapsed="false">
      <c r="A33" s="2"/>
    </row>
  </sheetData>
  <mergeCells count="48">
    <mergeCell ref="A2:S2"/>
    <mergeCell ref="B4:Q4"/>
    <mergeCell ref="B5:C5"/>
    <mergeCell ref="D5:E5"/>
    <mergeCell ref="F5:G5"/>
    <mergeCell ref="H5:I5"/>
    <mergeCell ref="J5:K5"/>
    <mergeCell ref="L5:M5"/>
    <mergeCell ref="N5:O5"/>
    <mergeCell ref="P5:Q5"/>
    <mergeCell ref="E7:F7"/>
    <mergeCell ref="I7:J7"/>
    <mergeCell ref="K7:L7"/>
    <mergeCell ref="M7:N7"/>
    <mergeCell ref="O7:P7"/>
    <mergeCell ref="B8:P8"/>
    <mergeCell ref="B9:D9"/>
    <mergeCell ref="E9:G9"/>
    <mergeCell ref="H9:J9"/>
    <mergeCell ref="K9:M9"/>
    <mergeCell ref="N9:P9"/>
    <mergeCell ref="E11:G11"/>
    <mergeCell ref="K11:M11"/>
    <mergeCell ref="P11:Q11"/>
    <mergeCell ref="B12:Q12"/>
    <mergeCell ref="B13:E13"/>
    <mergeCell ref="F13:I13"/>
    <mergeCell ref="J13:M13"/>
    <mergeCell ref="N13:Q13"/>
    <mergeCell ref="E15:G15"/>
    <mergeCell ref="I15:J15"/>
    <mergeCell ref="Q15:R15"/>
    <mergeCell ref="A17:S17"/>
    <mergeCell ref="A18:S18"/>
    <mergeCell ref="A19:S19"/>
    <mergeCell ref="A20:S20"/>
    <mergeCell ref="A21:S21"/>
    <mergeCell ref="A22:S22"/>
    <mergeCell ref="A23:S23"/>
    <mergeCell ref="A24:S24"/>
    <mergeCell ref="A25:S25"/>
    <mergeCell ref="A26:S26"/>
    <mergeCell ref="A27:S27"/>
    <mergeCell ref="A28:S28"/>
    <mergeCell ref="A29:S29"/>
    <mergeCell ref="A30:S30"/>
    <mergeCell ref="A31:S31"/>
    <mergeCell ref="A32:S32"/>
  </mergeCells>
  <printOptions headings="false" gridLines="false" gridLinesSet="true" horizontalCentered="false" verticalCentered="false"/>
  <pageMargins left="0.952777777777778" right="0.708333333333333" top="0.747916666666667" bottom="0.747916666666667"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27"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false" showRowColHeaders="true" showZeros="true" rightToLeft="false" tabSelected="false" showOutlineSymbols="true" defaultGridColor="true" view="pageBreakPreview" topLeftCell="A1" colorId="64" zoomScale="85" zoomScaleNormal="75" zoomScalePageLayoutView="85" workbookViewId="0">
      <selection pane="topLeft" activeCell="E12" activeCellId="0" sqref="E12"/>
    </sheetView>
  </sheetViews>
  <sheetFormatPr defaultColWidth="11.43359375" defaultRowHeight="13.8" customHeight="false" zeroHeight="false" outlineLevelRow="0" outlineLevelCol="0"/>
  <cols>
    <col collapsed="false" customWidth="true" hidden="false" outlineLevel="0" max="1" min="1" style="139" width="3.57"/>
    <col collapsed="false" customWidth="true" hidden="false" outlineLevel="0" max="2" min="2" style="139" width="15.85"/>
    <col collapsed="false" customWidth="true" hidden="false" outlineLevel="0" max="3" min="3" style="139" width="21.62"/>
    <col collapsed="false" customWidth="true" hidden="false" outlineLevel="0" max="4" min="4" style="139" width="18.01"/>
    <col collapsed="false" customWidth="true" hidden="false" outlineLevel="0" max="5" min="5" style="139" width="5.42"/>
    <col collapsed="false" customWidth="true" hidden="false" outlineLevel="0" max="6" min="6" style="139" width="15.71"/>
    <col collapsed="false" customWidth="true" hidden="false" outlineLevel="0" max="7" min="7" style="139" width="48.88"/>
    <col collapsed="false" customWidth="false" hidden="false" outlineLevel="0" max="12" min="8" style="140" width="11.43"/>
    <col collapsed="false" customWidth="false" hidden="false" outlineLevel="0" max="16379" min="13" style="139" width="11.43"/>
    <col collapsed="false" customWidth="true" hidden="false" outlineLevel="0" max="16384" min="16380" style="139" width="11.53"/>
  </cols>
  <sheetData>
    <row r="1" customFormat="false" ht="21" hidden="false" customHeight="true" outlineLevel="0" collapsed="false">
      <c r="A1" s="2"/>
      <c r="B1" s="141" t="s">
        <v>396</v>
      </c>
      <c r="C1" s="141"/>
      <c r="D1" s="141"/>
      <c r="E1" s="141"/>
      <c r="F1" s="141"/>
      <c r="G1" s="141"/>
    </row>
    <row r="2" customFormat="false" ht="45" hidden="false" customHeight="true" outlineLevel="0" collapsed="false">
      <c r="A2" s="142" t="s">
        <v>397</v>
      </c>
      <c r="B2" s="22" t="s">
        <v>398</v>
      </c>
      <c r="C2" s="143" t="s">
        <v>399</v>
      </c>
      <c r="D2" s="144" t="s">
        <v>400</v>
      </c>
      <c r="E2" s="32" t="s">
        <v>401</v>
      </c>
      <c r="F2" s="32"/>
      <c r="G2" s="32"/>
    </row>
    <row r="3" customFormat="false" ht="17.25" hidden="false" customHeight="true" outlineLevel="0" collapsed="false">
      <c r="A3" s="142"/>
      <c r="B3" s="145" t="n">
        <v>1</v>
      </c>
      <c r="C3" s="146" t="s">
        <v>402</v>
      </c>
      <c r="D3" s="147" t="s">
        <v>403</v>
      </c>
      <c r="E3" s="148" t="s">
        <v>404</v>
      </c>
      <c r="F3" s="148"/>
      <c r="G3" s="148"/>
    </row>
    <row r="4" customFormat="false" ht="14.5" hidden="false" customHeight="false" outlineLevel="0" collapsed="false">
      <c r="A4" s="142"/>
      <c r="B4" s="145" t="n">
        <v>2</v>
      </c>
      <c r="C4" s="149" t="n">
        <v>1</v>
      </c>
      <c r="D4" s="47" t="s">
        <v>403</v>
      </c>
      <c r="E4" s="148"/>
      <c r="F4" s="148"/>
      <c r="G4" s="148"/>
    </row>
    <row r="5" customFormat="false" ht="14.5" hidden="false" customHeight="false" outlineLevel="0" collapsed="false">
      <c r="A5" s="142"/>
      <c r="B5" s="145" t="n">
        <v>3</v>
      </c>
      <c r="C5" s="146" t="n">
        <v>2</v>
      </c>
      <c r="D5" s="45" t="s">
        <v>403</v>
      </c>
      <c r="E5" s="148"/>
      <c r="F5" s="148"/>
      <c r="G5" s="148"/>
    </row>
    <row r="6" customFormat="false" ht="14.5" hidden="false" customHeight="false" outlineLevel="0" collapsed="false">
      <c r="A6" s="142"/>
      <c r="B6" s="145" t="n">
        <v>5</v>
      </c>
      <c r="C6" s="149" t="n">
        <v>1</v>
      </c>
      <c r="D6" s="47" t="s">
        <v>405</v>
      </c>
      <c r="E6" s="148"/>
      <c r="F6" s="148"/>
      <c r="G6" s="148"/>
    </row>
    <row r="7" customFormat="false" ht="14.5" hidden="false" customHeight="false" outlineLevel="0" collapsed="false">
      <c r="A7" s="142"/>
      <c r="B7" s="145" t="n">
        <v>8</v>
      </c>
      <c r="C7" s="146" t="n">
        <v>2</v>
      </c>
      <c r="D7" s="150" t="s">
        <v>405</v>
      </c>
      <c r="E7" s="148"/>
      <c r="F7" s="148"/>
      <c r="G7" s="148"/>
    </row>
    <row r="8" customFormat="false" ht="14.5" hidden="false" customHeight="false" outlineLevel="0" collapsed="false">
      <c r="A8" s="142"/>
      <c r="B8" s="151" t="n">
        <v>13</v>
      </c>
      <c r="C8" s="149" t="s">
        <v>406</v>
      </c>
      <c r="D8" s="47" t="s">
        <v>407</v>
      </c>
      <c r="E8" s="148"/>
      <c r="F8" s="148"/>
      <c r="G8" s="148"/>
    </row>
    <row r="9" customFormat="false" ht="14.5" hidden="false" customHeight="false" outlineLevel="0" collapsed="false">
      <c r="A9" s="142"/>
      <c r="B9" s="152" t="n">
        <v>21</v>
      </c>
      <c r="C9" s="146" t="n">
        <v>2</v>
      </c>
      <c r="D9" s="147" t="s">
        <v>407</v>
      </c>
      <c r="E9" s="148"/>
      <c r="F9" s="148"/>
      <c r="G9" s="148"/>
    </row>
    <row r="10" customFormat="false" ht="14.5" hidden="false" customHeight="false" outlineLevel="0" collapsed="false">
      <c r="A10" s="142"/>
      <c r="B10" s="151" t="n">
        <v>34</v>
      </c>
      <c r="C10" s="149" t="n">
        <v>3</v>
      </c>
      <c r="D10" s="47" t="s">
        <v>407</v>
      </c>
      <c r="E10" s="148"/>
      <c r="F10" s="148"/>
      <c r="G10" s="148"/>
    </row>
    <row r="11" customFormat="false" ht="14.5" hidden="false" customHeight="false" outlineLevel="0" collapsed="false">
      <c r="A11" s="142"/>
      <c r="B11" s="153" t="s">
        <v>408</v>
      </c>
      <c r="C11" s="154" t="s">
        <v>409</v>
      </c>
      <c r="D11" s="155" t="s">
        <v>66</v>
      </c>
      <c r="E11" s="148"/>
      <c r="F11" s="148"/>
      <c r="G11" s="148"/>
    </row>
    <row r="12" customFormat="false" ht="56.25" hidden="false" customHeight="true" outlineLevel="0" collapsed="false">
      <c r="A12" s="156" t="s">
        <v>410</v>
      </c>
      <c r="B12" s="22" t="s">
        <v>398</v>
      </c>
      <c r="C12" s="143" t="s">
        <v>399</v>
      </c>
      <c r="D12" s="144" t="s">
        <v>400</v>
      </c>
      <c r="E12" s="32" t="s">
        <v>401</v>
      </c>
      <c r="F12" s="32"/>
      <c r="G12" s="32"/>
    </row>
    <row r="13" customFormat="false" ht="14.5" hidden="false" customHeight="false" outlineLevel="0" collapsed="false">
      <c r="A13" s="156"/>
      <c r="B13" s="152" t="n">
        <v>1</v>
      </c>
      <c r="C13" s="146" t="s">
        <v>402</v>
      </c>
      <c r="D13" s="147" t="s">
        <v>403</v>
      </c>
      <c r="E13" s="157"/>
      <c r="F13" s="157"/>
      <c r="G13" s="157"/>
    </row>
    <row r="14" customFormat="false" ht="14.5" hidden="false" customHeight="false" outlineLevel="0" collapsed="false">
      <c r="A14" s="156"/>
      <c r="B14" s="151" t="n">
        <v>2</v>
      </c>
      <c r="C14" s="149" t="n">
        <v>1</v>
      </c>
      <c r="D14" s="47" t="s">
        <v>403</v>
      </c>
      <c r="E14" s="157"/>
      <c r="F14" s="157"/>
      <c r="G14" s="157"/>
    </row>
    <row r="15" customFormat="false" ht="14.5" hidden="false" customHeight="false" outlineLevel="0" collapsed="false">
      <c r="A15" s="156"/>
      <c r="B15" s="152" t="n">
        <v>3</v>
      </c>
      <c r="C15" s="146" t="n">
        <v>2</v>
      </c>
      <c r="D15" s="45" t="s">
        <v>403</v>
      </c>
      <c r="E15" s="157"/>
      <c r="F15" s="157"/>
      <c r="G15" s="157"/>
    </row>
    <row r="16" customFormat="false" ht="14.5" hidden="false" customHeight="false" outlineLevel="0" collapsed="false">
      <c r="A16" s="156"/>
      <c r="B16" s="151" t="n">
        <v>5</v>
      </c>
      <c r="C16" s="149" t="n">
        <v>1</v>
      </c>
      <c r="D16" s="47" t="s">
        <v>405</v>
      </c>
      <c r="E16" s="157"/>
      <c r="F16" s="157"/>
      <c r="G16" s="157"/>
    </row>
    <row r="17" customFormat="false" ht="14.5" hidden="false" customHeight="false" outlineLevel="0" collapsed="false">
      <c r="A17" s="156"/>
      <c r="B17" s="152" t="n">
        <v>8</v>
      </c>
      <c r="C17" s="146" t="n">
        <v>2</v>
      </c>
      <c r="D17" s="150" t="s">
        <v>405</v>
      </c>
      <c r="E17" s="157"/>
      <c r="F17" s="157"/>
      <c r="G17" s="157"/>
    </row>
    <row r="18" customFormat="false" ht="14.5" hidden="false" customHeight="false" outlineLevel="0" collapsed="false">
      <c r="A18" s="156"/>
      <c r="B18" s="151" t="n">
        <v>13</v>
      </c>
      <c r="C18" s="149" t="s">
        <v>406</v>
      </c>
      <c r="D18" s="47" t="s">
        <v>407</v>
      </c>
      <c r="E18" s="157"/>
      <c r="F18" s="157"/>
      <c r="G18" s="157"/>
    </row>
    <row r="19" customFormat="false" ht="14.5" hidden="false" customHeight="false" outlineLevel="0" collapsed="false">
      <c r="A19" s="156"/>
      <c r="B19" s="152" t="n">
        <v>21</v>
      </c>
      <c r="C19" s="146" t="n">
        <v>2</v>
      </c>
      <c r="D19" s="147" t="s">
        <v>407</v>
      </c>
      <c r="E19" s="157"/>
      <c r="F19" s="157"/>
      <c r="G19" s="157"/>
    </row>
    <row r="20" customFormat="false" ht="14.5" hidden="false" customHeight="false" outlineLevel="0" collapsed="false">
      <c r="A20" s="156"/>
      <c r="B20" s="151" t="n">
        <v>34</v>
      </c>
      <c r="C20" s="149" t="n">
        <v>3</v>
      </c>
      <c r="D20" s="47" t="s">
        <v>407</v>
      </c>
      <c r="E20" s="157"/>
      <c r="F20" s="157"/>
      <c r="G20" s="157"/>
    </row>
    <row r="21" customFormat="false" ht="14.5" hidden="false" customHeight="false" outlineLevel="0" collapsed="false">
      <c r="A21" s="156"/>
      <c r="B21" s="153" t="s">
        <v>408</v>
      </c>
      <c r="C21" s="154" t="s">
        <v>409</v>
      </c>
      <c r="D21" s="158" t="s">
        <v>66</v>
      </c>
      <c r="E21" s="157"/>
      <c r="F21" s="157"/>
      <c r="G21" s="157"/>
    </row>
    <row r="22" customFormat="false" ht="51.75" hidden="false" customHeight="true" outlineLevel="0" collapsed="false">
      <c r="A22" s="156" t="s">
        <v>411</v>
      </c>
      <c r="B22" s="22" t="s">
        <v>398</v>
      </c>
      <c r="C22" s="143" t="s">
        <v>399</v>
      </c>
      <c r="D22" s="144" t="s">
        <v>400</v>
      </c>
      <c r="E22" s="32" t="s">
        <v>401</v>
      </c>
      <c r="F22" s="32"/>
      <c r="G22" s="32"/>
    </row>
    <row r="23" customFormat="false" ht="14.5" hidden="false" customHeight="false" outlineLevel="0" collapsed="false">
      <c r="A23" s="156"/>
      <c r="B23" s="152" t="n">
        <v>1</v>
      </c>
      <c r="C23" s="146" t="s">
        <v>402</v>
      </c>
      <c r="D23" s="147" t="s">
        <v>403</v>
      </c>
      <c r="E23" s="157"/>
      <c r="F23" s="157"/>
      <c r="G23" s="157"/>
    </row>
    <row r="24" customFormat="false" ht="14.5" hidden="false" customHeight="false" outlineLevel="0" collapsed="false">
      <c r="A24" s="156"/>
      <c r="B24" s="151" t="n">
        <v>2</v>
      </c>
      <c r="C24" s="149" t="n">
        <v>1</v>
      </c>
      <c r="D24" s="47" t="s">
        <v>403</v>
      </c>
      <c r="E24" s="157"/>
      <c r="F24" s="157"/>
      <c r="G24" s="157"/>
    </row>
    <row r="25" customFormat="false" ht="14.5" hidden="false" customHeight="false" outlineLevel="0" collapsed="false">
      <c r="A25" s="156"/>
      <c r="B25" s="152" t="n">
        <v>3</v>
      </c>
      <c r="C25" s="146" t="n">
        <v>2</v>
      </c>
      <c r="D25" s="45" t="s">
        <v>403</v>
      </c>
      <c r="E25" s="157"/>
      <c r="F25" s="157"/>
      <c r="G25" s="157"/>
    </row>
    <row r="26" customFormat="false" ht="14.5" hidden="false" customHeight="false" outlineLevel="0" collapsed="false">
      <c r="A26" s="156"/>
      <c r="B26" s="151" t="n">
        <v>5</v>
      </c>
      <c r="C26" s="149" t="n">
        <v>1</v>
      </c>
      <c r="D26" s="47" t="s">
        <v>405</v>
      </c>
      <c r="E26" s="157"/>
      <c r="F26" s="157"/>
      <c r="G26" s="157"/>
    </row>
    <row r="27" customFormat="false" ht="14.5" hidden="false" customHeight="false" outlineLevel="0" collapsed="false">
      <c r="A27" s="156"/>
      <c r="B27" s="152" t="n">
        <v>8</v>
      </c>
      <c r="C27" s="146" t="n">
        <v>2</v>
      </c>
      <c r="D27" s="150" t="s">
        <v>405</v>
      </c>
      <c r="E27" s="157"/>
      <c r="F27" s="157"/>
      <c r="G27" s="157"/>
    </row>
    <row r="28" customFormat="false" ht="14.5" hidden="false" customHeight="false" outlineLevel="0" collapsed="false">
      <c r="A28" s="156"/>
      <c r="B28" s="151" t="n">
        <v>13</v>
      </c>
      <c r="C28" s="149" t="s">
        <v>406</v>
      </c>
      <c r="D28" s="47" t="s">
        <v>407</v>
      </c>
      <c r="E28" s="157"/>
      <c r="F28" s="157"/>
      <c r="G28" s="157"/>
    </row>
    <row r="29" customFormat="false" ht="14.5" hidden="false" customHeight="false" outlineLevel="0" collapsed="false">
      <c r="A29" s="156"/>
      <c r="B29" s="152" t="n">
        <v>21</v>
      </c>
      <c r="C29" s="146" t="n">
        <v>2</v>
      </c>
      <c r="D29" s="147" t="s">
        <v>407</v>
      </c>
      <c r="E29" s="157"/>
      <c r="F29" s="157"/>
      <c r="G29" s="157"/>
    </row>
    <row r="30" customFormat="false" ht="14.5" hidden="false" customHeight="false" outlineLevel="0" collapsed="false">
      <c r="A30" s="156"/>
      <c r="B30" s="151" t="n">
        <v>34</v>
      </c>
      <c r="C30" s="149" t="n">
        <v>3</v>
      </c>
      <c r="D30" s="47" t="s">
        <v>407</v>
      </c>
      <c r="E30" s="157"/>
      <c r="F30" s="157"/>
      <c r="G30" s="157"/>
    </row>
    <row r="31" customFormat="false" ht="14.5" hidden="false" customHeight="false" outlineLevel="0" collapsed="false">
      <c r="A31" s="156"/>
      <c r="B31" s="153" t="s">
        <v>408</v>
      </c>
      <c r="C31" s="154" t="s">
        <v>409</v>
      </c>
      <c r="D31" s="158" t="s">
        <v>66</v>
      </c>
      <c r="E31" s="157"/>
      <c r="F31" s="157"/>
      <c r="G31" s="157"/>
    </row>
    <row r="32" customFormat="false" ht="54.75" hidden="false" customHeight="true" outlineLevel="0" collapsed="false">
      <c r="A32" s="156" t="s">
        <v>412</v>
      </c>
      <c r="B32" s="22" t="s">
        <v>398</v>
      </c>
      <c r="C32" s="143" t="s">
        <v>399</v>
      </c>
      <c r="D32" s="144" t="s">
        <v>400</v>
      </c>
      <c r="E32" s="32" t="s">
        <v>401</v>
      </c>
      <c r="F32" s="32"/>
      <c r="G32" s="32"/>
    </row>
    <row r="33" customFormat="false" ht="14.5" hidden="false" customHeight="false" outlineLevel="0" collapsed="false">
      <c r="A33" s="156"/>
      <c r="B33" s="152" t="n">
        <v>1</v>
      </c>
      <c r="C33" s="146" t="s">
        <v>402</v>
      </c>
      <c r="D33" s="147" t="s">
        <v>403</v>
      </c>
      <c r="E33" s="157"/>
      <c r="F33" s="157"/>
      <c r="G33" s="157"/>
    </row>
    <row r="34" customFormat="false" ht="14.5" hidden="false" customHeight="false" outlineLevel="0" collapsed="false">
      <c r="A34" s="156"/>
      <c r="B34" s="151" t="n">
        <v>2</v>
      </c>
      <c r="C34" s="149" t="n">
        <v>1</v>
      </c>
      <c r="D34" s="47" t="s">
        <v>403</v>
      </c>
      <c r="E34" s="157"/>
      <c r="F34" s="157"/>
      <c r="G34" s="157"/>
    </row>
    <row r="35" customFormat="false" ht="14.5" hidden="false" customHeight="false" outlineLevel="0" collapsed="false">
      <c r="A35" s="156"/>
      <c r="B35" s="152" t="n">
        <v>3</v>
      </c>
      <c r="C35" s="146" t="n">
        <v>2</v>
      </c>
      <c r="D35" s="45" t="s">
        <v>403</v>
      </c>
      <c r="E35" s="157"/>
      <c r="F35" s="157"/>
      <c r="G35" s="157"/>
    </row>
    <row r="36" customFormat="false" ht="14.5" hidden="false" customHeight="false" outlineLevel="0" collapsed="false">
      <c r="A36" s="156"/>
      <c r="B36" s="151" t="n">
        <v>5</v>
      </c>
      <c r="C36" s="149" t="n">
        <v>1</v>
      </c>
      <c r="D36" s="47" t="s">
        <v>405</v>
      </c>
      <c r="E36" s="157"/>
      <c r="F36" s="157"/>
      <c r="G36" s="157"/>
    </row>
    <row r="37" customFormat="false" ht="14.5" hidden="false" customHeight="false" outlineLevel="0" collapsed="false">
      <c r="A37" s="156"/>
      <c r="B37" s="152" t="n">
        <v>8</v>
      </c>
      <c r="C37" s="146" t="n">
        <v>2</v>
      </c>
      <c r="D37" s="150" t="s">
        <v>405</v>
      </c>
      <c r="E37" s="157"/>
      <c r="F37" s="157"/>
      <c r="G37" s="157"/>
    </row>
    <row r="38" customFormat="false" ht="14.5" hidden="false" customHeight="false" outlineLevel="0" collapsed="false">
      <c r="A38" s="156"/>
      <c r="B38" s="151" t="n">
        <v>13</v>
      </c>
      <c r="C38" s="149" t="s">
        <v>406</v>
      </c>
      <c r="D38" s="47" t="s">
        <v>407</v>
      </c>
      <c r="E38" s="157"/>
      <c r="F38" s="157"/>
      <c r="G38" s="157"/>
    </row>
    <row r="39" customFormat="false" ht="14.5" hidden="false" customHeight="false" outlineLevel="0" collapsed="false">
      <c r="A39" s="156"/>
      <c r="B39" s="152" t="n">
        <v>21</v>
      </c>
      <c r="C39" s="146" t="n">
        <v>2</v>
      </c>
      <c r="D39" s="147" t="s">
        <v>407</v>
      </c>
      <c r="E39" s="157"/>
      <c r="F39" s="157"/>
      <c r="G39" s="157"/>
    </row>
    <row r="40" customFormat="false" ht="14.5" hidden="false" customHeight="false" outlineLevel="0" collapsed="false">
      <c r="A40" s="156"/>
      <c r="B40" s="151" t="n">
        <v>34</v>
      </c>
      <c r="C40" s="149" t="n">
        <v>3</v>
      </c>
      <c r="D40" s="47" t="s">
        <v>407</v>
      </c>
      <c r="E40" s="157"/>
      <c r="F40" s="157"/>
      <c r="G40" s="157"/>
    </row>
    <row r="41" customFormat="false" ht="14.5" hidden="false" customHeight="false" outlineLevel="0" collapsed="false">
      <c r="A41" s="156"/>
      <c r="B41" s="153" t="s">
        <v>408</v>
      </c>
      <c r="C41" s="154" t="s">
        <v>409</v>
      </c>
      <c r="D41" s="158" t="s">
        <v>66</v>
      </c>
      <c r="E41" s="157"/>
      <c r="F41" s="157"/>
      <c r="G41" s="157"/>
    </row>
    <row r="42" customFormat="false" ht="54.75" hidden="false" customHeight="true" outlineLevel="0" collapsed="false">
      <c r="A42" s="156" t="s">
        <v>413</v>
      </c>
      <c r="B42" s="22" t="s">
        <v>398</v>
      </c>
      <c r="C42" s="143" t="s">
        <v>399</v>
      </c>
      <c r="D42" s="144" t="s">
        <v>400</v>
      </c>
      <c r="E42" s="32" t="s">
        <v>401</v>
      </c>
      <c r="F42" s="32"/>
      <c r="G42" s="32"/>
    </row>
    <row r="43" customFormat="false" ht="14.5" hidden="false" customHeight="false" outlineLevel="0" collapsed="false">
      <c r="A43" s="156"/>
      <c r="B43" s="152" t="n">
        <v>1</v>
      </c>
      <c r="C43" s="146" t="s">
        <v>402</v>
      </c>
      <c r="D43" s="147" t="s">
        <v>403</v>
      </c>
      <c r="E43" s="159"/>
      <c r="F43" s="159"/>
      <c r="G43" s="159"/>
    </row>
    <row r="44" customFormat="false" ht="14.5" hidden="false" customHeight="false" outlineLevel="0" collapsed="false">
      <c r="A44" s="156"/>
      <c r="B44" s="151" t="n">
        <v>2</v>
      </c>
      <c r="C44" s="149" t="n">
        <v>1</v>
      </c>
      <c r="D44" s="47" t="s">
        <v>403</v>
      </c>
      <c r="E44" s="159"/>
      <c r="F44" s="159"/>
      <c r="G44" s="159"/>
    </row>
    <row r="45" customFormat="false" ht="14.5" hidden="false" customHeight="false" outlineLevel="0" collapsed="false">
      <c r="A45" s="156"/>
      <c r="B45" s="152" t="n">
        <v>3</v>
      </c>
      <c r="C45" s="146" t="n">
        <v>2</v>
      </c>
      <c r="D45" s="45" t="s">
        <v>403</v>
      </c>
      <c r="E45" s="159"/>
      <c r="F45" s="159"/>
      <c r="G45" s="159"/>
    </row>
    <row r="46" customFormat="false" ht="14.5" hidden="false" customHeight="false" outlineLevel="0" collapsed="false">
      <c r="A46" s="156"/>
      <c r="B46" s="151" t="n">
        <v>5</v>
      </c>
      <c r="C46" s="149" t="n">
        <v>1</v>
      </c>
      <c r="D46" s="47" t="s">
        <v>405</v>
      </c>
      <c r="E46" s="159"/>
      <c r="F46" s="159"/>
      <c r="G46" s="159"/>
    </row>
    <row r="47" customFormat="false" ht="14.5" hidden="false" customHeight="false" outlineLevel="0" collapsed="false">
      <c r="A47" s="156"/>
      <c r="B47" s="152" t="n">
        <v>8</v>
      </c>
      <c r="C47" s="146" t="n">
        <v>2</v>
      </c>
      <c r="D47" s="150" t="s">
        <v>405</v>
      </c>
      <c r="E47" s="159"/>
      <c r="F47" s="159"/>
      <c r="G47" s="159"/>
    </row>
    <row r="48" customFormat="false" ht="14.5" hidden="false" customHeight="false" outlineLevel="0" collapsed="false">
      <c r="A48" s="156"/>
      <c r="B48" s="151" t="n">
        <v>13</v>
      </c>
      <c r="C48" s="149" t="s">
        <v>406</v>
      </c>
      <c r="D48" s="47" t="s">
        <v>407</v>
      </c>
      <c r="E48" s="159"/>
      <c r="F48" s="159"/>
      <c r="G48" s="159"/>
    </row>
    <row r="49" customFormat="false" ht="14.5" hidden="false" customHeight="false" outlineLevel="0" collapsed="false">
      <c r="A49" s="156"/>
      <c r="B49" s="152" t="n">
        <v>21</v>
      </c>
      <c r="C49" s="146" t="n">
        <v>2</v>
      </c>
      <c r="D49" s="147" t="s">
        <v>407</v>
      </c>
      <c r="E49" s="159"/>
      <c r="F49" s="159"/>
      <c r="G49" s="159"/>
    </row>
    <row r="50" customFormat="false" ht="14.5" hidden="false" customHeight="false" outlineLevel="0" collapsed="false">
      <c r="A50" s="156"/>
      <c r="B50" s="151" t="n">
        <v>34</v>
      </c>
      <c r="C50" s="149" t="n">
        <v>3</v>
      </c>
      <c r="D50" s="47" t="s">
        <v>407</v>
      </c>
      <c r="E50" s="159"/>
      <c r="F50" s="159"/>
      <c r="G50" s="159"/>
    </row>
    <row r="51" customFormat="false" ht="14.5" hidden="false" customHeight="false" outlineLevel="0" collapsed="false">
      <c r="A51" s="156"/>
      <c r="B51" s="160" t="s">
        <v>408</v>
      </c>
      <c r="C51" s="161" t="s">
        <v>409</v>
      </c>
      <c r="D51" s="162" t="s">
        <v>66</v>
      </c>
      <c r="E51" s="159"/>
      <c r="F51" s="159"/>
      <c r="G51" s="159"/>
    </row>
    <row r="52" customFormat="false" ht="42.5" hidden="false" customHeight="true" outlineLevel="0" collapsed="false">
      <c r="A52" s="156" t="s">
        <v>414</v>
      </c>
      <c r="B52" s="22" t="s">
        <v>398</v>
      </c>
      <c r="C52" s="143" t="s">
        <v>399</v>
      </c>
      <c r="D52" s="144" t="s">
        <v>400</v>
      </c>
      <c r="E52" s="32" t="s">
        <v>401</v>
      </c>
      <c r="F52" s="32"/>
      <c r="G52" s="32"/>
    </row>
    <row r="53" customFormat="false" ht="14.5" hidden="false" customHeight="false" outlineLevel="0" collapsed="false">
      <c r="A53" s="156"/>
      <c r="B53" s="152" t="n">
        <v>1</v>
      </c>
      <c r="C53" s="146" t="s">
        <v>402</v>
      </c>
      <c r="D53" s="147" t="s">
        <v>403</v>
      </c>
      <c r="E53" s="157"/>
      <c r="F53" s="157"/>
      <c r="G53" s="157"/>
    </row>
    <row r="54" customFormat="false" ht="14.5" hidden="false" customHeight="false" outlineLevel="0" collapsed="false">
      <c r="A54" s="156"/>
      <c r="B54" s="151" t="n">
        <v>2</v>
      </c>
      <c r="C54" s="149" t="n">
        <v>1</v>
      </c>
      <c r="D54" s="47" t="s">
        <v>403</v>
      </c>
      <c r="E54" s="157"/>
      <c r="F54" s="157"/>
      <c r="G54" s="157"/>
    </row>
    <row r="55" customFormat="false" ht="14.5" hidden="false" customHeight="false" outlineLevel="0" collapsed="false">
      <c r="A55" s="156"/>
      <c r="B55" s="152" t="n">
        <v>3</v>
      </c>
      <c r="C55" s="146" t="n">
        <v>2</v>
      </c>
      <c r="D55" s="45" t="s">
        <v>403</v>
      </c>
      <c r="E55" s="157"/>
      <c r="F55" s="157"/>
      <c r="G55" s="157"/>
    </row>
    <row r="56" customFormat="false" ht="14.5" hidden="false" customHeight="false" outlineLevel="0" collapsed="false">
      <c r="A56" s="156"/>
      <c r="B56" s="151" t="n">
        <v>5</v>
      </c>
      <c r="C56" s="149" t="n">
        <v>1</v>
      </c>
      <c r="D56" s="47" t="s">
        <v>405</v>
      </c>
      <c r="E56" s="157"/>
      <c r="F56" s="157"/>
      <c r="G56" s="157"/>
    </row>
    <row r="57" customFormat="false" ht="14.5" hidden="false" customHeight="false" outlineLevel="0" collapsed="false">
      <c r="A57" s="156"/>
      <c r="B57" s="152" t="n">
        <v>8</v>
      </c>
      <c r="C57" s="146" t="n">
        <v>2</v>
      </c>
      <c r="D57" s="150" t="s">
        <v>405</v>
      </c>
      <c r="E57" s="157"/>
      <c r="F57" s="157"/>
      <c r="G57" s="157"/>
    </row>
    <row r="58" customFormat="false" ht="14.5" hidden="false" customHeight="false" outlineLevel="0" collapsed="false">
      <c r="A58" s="156"/>
      <c r="B58" s="151" t="n">
        <v>13</v>
      </c>
      <c r="C58" s="149" t="s">
        <v>406</v>
      </c>
      <c r="D58" s="47" t="s">
        <v>407</v>
      </c>
      <c r="E58" s="157"/>
      <c r="F58" s="157"/>
      <c r="G58" s="157"/>
    </row>
    <row r="59" customFormat="false" ht="14.5" hidden="false" customHeight="false" outlineLevel="0" collapsed="false">
      <c r="A59" s="156"/>
      <c r="B59" s="152" t="n">
        <v>21</v>
      </c>
      <c r="C59" s="146" t="n">
        <v>2</v>
      </c>
      <c r="D59" s="147" t="s">
        <v>407</v>
      </c>
      <c r="E59" s="157"/>
      <c r="F59" s="157"/>
      <c r="G59" s="157"/>
    </row>
    <row r="60" customFormat="false" ht="14.5" hidden="false" customHeight="false" outlineLevel="0" collapsed="false">
      <c r="A60" s="156"/>
      <c r="B60" s="151" t="n">
        <v>34</v>
      </c>
      <c r="C60" s="149" t="n">
        <v>3</v>
      </c>
      <c r="D60" s="47" t="s">
        <v>407</v>
      </c>
      <c r="E60" s="157"/>
      <c r="F60" s="157"/>
      <c r="G60" s="157"/>
    </row>
    <row r="61" customFormat="false" ht="14.5" hidden="false" customHeight="false" outlineLevel="0" collapsed="false">
      <c r="A61" s="156"/>
      <c r="B61" s="153" t="s">
        <v>408</v>
      </c>
      <c r="C61" s="154" t="s">
        <v>409</v>
      </c>
      <c r="D61" s="158" t="s">
        <v>66</v>
      </c>
      <c r="E61" s="157"/>
      <c r="F61" s="157"/>
      <c r="G61" s="157"/>
    </row>
    <row r="62" customFormat="false" ht="42.5" hidden="false" customHeight="true" outlineLevel="0" collapsed="false">
      <c r="A62" s="156" t="s">
        <v>415</v>
      </c>
      <c r="B62" s="22" t="s">
        <v>398</v>
      </c>
      <c r="C62" s="143" t="s">
        <v>399</v>
      </c>
      <c r="D62" s="144" t="s">
        <v>400</v>
      </c>
      <c r="E62" s="32" t="s">
        <v>401</v>
      </c>
      <c r="F62" s="32"/>
      <c r="G62" s="32"/>
    </row>
    <row r="63" customFormat="false" ht="14.5" hidden="false" customHeight="false" outlineLevel="0" collapsed="false">
      <c r="A63" s="156"/>
      <c r="B63" s="152" t="n">
        <v>1</v>
      </c>
      <c r="C63" s="146" t="s">
        <v>402</v>
      </c>
      <c r="D63" s="147" t="s">
        <v>403</v>
      </c>
      <c r="E63" s="157"/>
      <c r="F63" s="157"/>
      <c r="G63" s="157"/>
    </row>
    <row r="64" customFormat="false" ht="14.5" hidden="false" customHeight="false" outlineLevel="0" collapsed="false">
      <c r="A64" s="156"/>
      <c r="B64" s="151" t="n">
        <v>2</v>
      </c>
      <c r="C64" s="149" t="n">
        <v>1</v>
      </c>
      <c r="D64" s="47" t="s">
        <v>403</v>
      </c>
      <c r="E64" s="157"/>
      <c r="F64" s="157"/>
      <c r="G64" s="157"/>
    </row>
    <row r="65" customFormat="false" ht="14.5" hidden="false" customHeight="false" outlineLevel="0" collapsed="false">
      <c r="A65" s="156"/>
      <c r="B65" s="152" t="n">
        <v>3</v>
      </c>
      <c r="C65" s="146" t="n">
        <v>2</v>
      </c>
      <c r="D65" s="45" t="s">
        <v>403</v>
      </c>
      <c r="E65" s="157"/>
      <c r="F65" s="157"/>
      <c r="G65" s="157"/>
    </row>
    <row r="66" customFormat="false" ht="14.5" hidden="false" customHeight="false" outlineLevel="0" collapsed="false">
      <c r="A66" s="156"/>
      <c r="B66" s="151" t="n">
        <v>5</v>
      </c>
      <c r="C66" s="149" t="n">
        <v>1</v>
      </c>
      <c r="D66" s="47" t="s">
        <v>405</v>
      </c>
      <c r="E66" s="157"/>
      <c r="F66" s="157"/>
      <c r="G66" s="157"/>
    </row>
    <row r="67" customFormat="false" ht="14.5" hidden="false" customHeight="false" outlineLevel="0" collapsed="false">
      <c r="A67" s="156"/>
      <c r="B67" s="152" t="n">
        <v>8</v>
      </c>
      <c r="C67" s="146" t="n">
        <v>2</v>
      </c>
      <c r="D67" s="150" t="s">
        <v>405</v>
      </c>
      <c r="E67" s="157"/>
      <c r="F67" s="157"/>
      <c r="G67" s="157"/>
    </row>
    <row r="68" customFormat="false" ht="14.5" hidden="false" customHeight="false" outlineLevel="0" collapsed="false">
      <c r="A68" s="156"/>
      <c r="B68" s="151" t="n">
        <v>13</v>
      </c>
      <c r="C68" s="149" t="s">
        <v>406</v>
      </c>
      <c r="D68" s="47" t="s">
        <v>407</v>
      </c>
      <c r="E68" s="157"/>
      <c r="F68" s="157"/>
      <c r="G68" s="157"/>
    </row>
    <row r="69" customFormat="false" ht="14.5" hidden="false" customHeight="false" outlineLevel="0" collapsed="false">
      <c r="A69" s="156"/>
      <c r="B69" s="152" t="n">
        <v>21</v>
      </c>
      <c r="C69" s="146" t="n">
        <v>2</v>
      </c>
      <c r="D69" s="147" t="s">
        <v>407</v>
      </c>
      <c r="E69" s="157"/>
      <c r="F69" s="157"/>
      <c r="G69" s="157"/>
    </row>
    <row r="70" customFormat="false" ht="14.5" hidden="false" customHeight="false" outlineLevel="0" collapsed="false">
      <c r="A70" s="156"/>
      <c r="B70" s="151" t="n">
        <v>34</v>
      </c>
      <c r="C70" s="149" t="n">
        <v>3</v>
      </c>
      <c r="D70" s="47" t="s">
        <v>407</v>
      </c>
      <c r="E70" s="157"/>
      <c r="F70" s="157"/>
      <c r="G70" s="157"/>
    </row>
    <row r="71" customFormat="false" ht="14.5" hidden="false" customHeight="false" outlineLevel="0" collapsed="false">
      <c r="A71" s="156"/>
      <c r="B71" s="153" t="s">
        <v>408</v>
      </c>
      <c r="C71" s="154" t="s">
        <v>409</v>
      </c>
      <c r="D71" s="158" t="s">
        <v>66</v>
      </c>
      <c r="E71" s="157"/>
      <c r="F71" s="157"/>
      <c r="G71" s="157"/>
    </row>
    <row r="72" customFormat="false" ht="13.8" hidden="false" customHeight="false" outlineLevel="0" collapsed="false">
      <c r="B72" s="2"/>
      <c r="C72" s="2"/>
      <c r="D72" s="2"/>
      <c r="E72" s="2"/>
      <c r="F72" s="2"/>
      <c r="G72" s="2"/>
    </row>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22">
    <mergeCell ref="B1:G1"/>
    <mergeCell ref="A2:A11"/>
    <mergeCell ref="E2:G2"/>
    <mergeCell ref="E3:G11"/>
    <mergeCell ref="A12:A21"/>
    <mergeCell ref="E12:G12"/>
    <mergeCell ref="E13:G21"/>
    <mergeCell ref="A22:A31"/>
    <mergeCell ref="E22:G22"/>
    <mergeCell ref="E23:G31"/>
    <mergeCell ref="A32:A41"/>
    <mergeCell ref="E32:G32"/>
    <mergeCell ref="E33:G41"/>
    <mergeCell ref="A42:A51"/>
    <mergeCell ref="E42:G42"/>
    <mergeCell ref="E43:G51"/>
    <mergeCell ref="A52:A61"/>
    <mergeCell ref="E52:G52"/>
    <mergeCell ref="E53:G61"/>
    <mergeCell ref="A62:A71"/>
    <mergeCell ref="E62:G62"/>
    <mergeCell ref="E63:G71"/>
  </mergeCells>
  <printOptions headings="false" gridLines="false" gridLinesSet="true" horizontalCentered="false" verticalCentered="false"/>
  <pageMargins left="0.7" right="0.0236111111111111" top="0.75" bottom="0.65625" header="0.511811023622047" footer="0.511811023622047"/>
  <pageSetup paperSize="1" scale="69"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51"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7"/>
  <sheetViews>
    <sheetView showFormulas="false" showGridLines="false" showRowColHeaders="true" showZeros="true" rightToLeft="false" tabSelected="false" showOutlineSymbols="true" defaultGridColor="true" view="pageBreakPreview" topLeftCell="A1" colorId="64" zoomScale="85" zoomScaleNormal="75" zoomScalePageLayoutView="85"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J81" activeCellId="0" sqref="J81"/>
    </sheetView>
  </sheetViews>
  <sheetFormatPr defaultColWidth="11.42578125" defaultRowHeight="14.25" customHeight="false" zeroHeight="false" outlineLevelRow="0" outlineLevelCol="0"/>
  <cols>
    <col collapsed="false" customWidth="true" hidden="false" outlineLevel="0" max="1" min="1" style="2" width="34.71"/>
    <col collapsed="false" customWidth="true" hidden="false" outlineLevel="0" max="2" min="2" style="2" width="23.86"/>
    <col collapsed="false" customWidth="true" hidden="false" outlineLevel="0" max="3" min="3" style="2" width="68.42"/>
    <col collapsed="false" customWidth="true" hidden="false" outlineLevel="0" max="4" min="4" style="2" width="13.57"/>
    <col collapsed="false" customWidth="true" hidden="false" outlineLevel="0" max="5" min="5" style="2" width="14.42"/>
  </cols>
  <sheetData>
    <row r="1" customFormat="false" ht="15.5" hidden="false" customHeight="true" outlineLevel="0" collapsed="false">
      <c r="A1" s="163" t="s">
        <v>416</v>
      </c>
      <c r="B1" s="163"/>
      <c r="C1" s="163"/>
      <c r="D1" s="163"/>
      <c r="E1" s="163"/>
    </row>
    <row r="2" customFormat="false" ht="15.5" hidden="false" customHeight="false" outlineLevel="0" collapsed="false">
      <c r="A2" s="164" t="s">
        <v>417</v>
      </c>
      <c r="B2" s="165" t="s">
        <v>418</v>
      </c>
      <c r="C2" s="165" t="s">
        <v>419</v>
      </c>
      <c r="D2" s="165" t="s">
        <v>420</v>
      </c>
      <c r="E2" s="166" t="s">
        <v>421</v>
      </c>
    </row>
    <row r="3" customFormat="false" ht="29" hidden="false" customHeight="false" outlineLevel="0" collapsed="false">
      <c r="A3" s="167" t="s">
        <v>422</v>
      </c>
      <c r="B3" s="168" t="s">
        <v>423</v>
      </c>
      <c r="C3" s="169" t="s">
        <v>424</v>
      </c>
      <c r="D3" s="168" t="n">
        <v>2</v>
      </c>
      <c r="E3" s="169" t="s">
        <v>425</v>
      </c>
    </row>
    <row r="4" customFormat="false" ht="29" hidden="false" customHeight="false" outlineLevel="0" collapsed="false">
      <c r="A4" s="170" t="s">
        <v>422</v>
      </c>
      <c r="B4" s="171" t="s">
        <v>426</v>
      </c>
      <c r="C4" s="172" t="s">
        <v>427</v>
      </c>
      <c r="D4" s="171" t="n">
        <v>2</v>
      </c>
      <c r="E4" s="172" t="s">
        <v>425</v>
      </c>
    </row>
    <row r="5" customFormat="false" ht="29" hidden="false" customHeight="false" outlineLevel="0" collapsed="false">
      <c r="A5" s="167" t="s">
        <v>422</v>
      </c>
      <c r="B5" s="168" t="s">
        <v>428</v>
      </c>
      <c r="C5" s="169" t="s">
        <v>429</v>
      </c>
      <c r="D5" s="168" t="n">
        <v>1</v>
      </c>
      <c r="E5" s="169" t="s">
        <v>425</v>
      </c>
    </row>
    <row r="6" customFormat="false" ht="29" hidden="false" customHeight="false" outlineLevel="0" collapsed="false">
      <c r="A6" s="172" t="s">
        <v>430</v>
      </c>
      <c r="B6" s="171" t="s">
        <v>423</v>
      </c>
      <c r="C6" s="172" t="s">
        <v>431</v>
      </c>
      <c r="D6" s="171" t="n">
        <v>2</v>
      </c>
      <c r="E6" s="172" t="s">
        <v>425</v>
      </c>
    </row>
    <row r="7" customFormat="false" ht="29" hidden="false" customHeight="false" outlineLevel="0" collapsed="false">
      <c r="A7" s="167" t="s">
        <v>430</v>
      </c>
      <c r="B7" s="168" t="s">
        <v>426</v>
      </c>
      <c r="C7" s="169" t="s">
        <v>432</v>
      </c>
      <c r="D7" s="168" t="n">
        <v>2</v>
      </c>
      <c r="E7" s="169" t="s">
        <v>425</v>
      </c>
    </row>
    <row r="8" customFormat="false" ht="29" hidden="false" customHeight="false" outlineLevel="0" collapsed="false">
      <c r="A8" s="172" t="s">
        <v>430</v>
      </c>
      <c r="B8" s="171" t="s">
        <v>428</v>
      </c>
      <c r="C8" s="172" t="s">
        <v>433</v>
      </c>
      <c r="D8" s="171" t="n">
        <v>1</v>
      </c>
      <c r="E8" s="172" t="s">
        <v>425</v>
      </c>
    </row>
    <row r="9" customFormat="false" ht="29" hidden="false" customHeight="false" outlineLevel="0" collapsed="false">
      <c r="A9" s="167" t="s">
        <v>434</v>
      </c>
      <c r="B9" s="168" t="s">
        <v>423</v>
      </c>
      <c r="C9" s="169" t="s">
        <v>435</v>
      </c>
      <c r="D9" s="168" t="n">
        <v>1</v>
      </c>
      <c r="E9" s="169" t="s">
        <v>425</v>
      </c>
    </row>
    <row r="10" customFormat="false" ht="29" hidden="false" customHeight="false" outlineLevel="0" collapsed="false">
      <c r="A10" s="172" t="s">
        <v>434</v>
      </c>
      <c r="B10" s="171" t="s">
        <v>426</v>
      </c>
      <c r="C10" s="172" t="s">
        <v>436</v>
      </c>
      <c r="D10" s="171" t="n">
        <v>1</v>
      </c>
      <c r="E10" s="172" t="s">
        <v>425</v>
      </c>
    </row>
    <row r="11" customFormat="false" ht="29" hidden="false" customHeight="false" outlineLevel="0" collapsed="false">
      <c r="A11" s="169" t="s">
        <v>434</v>
      </c>
      <c r="B11" s="168" t="s">
        <v>428</v>
      </c>
      <c r="C11" s="169" t="s">
        <v>437</v>
      </c>
      <c r="D11" s="168" t="n">
        <v>1</v>
      </c>
      <c r="E11" s="169" t="s">
        <v>425</v>
      </c>
    </row>
    <row r="12" customFormat="false" ht="29" hidden="false" customHeight="false" outlineLevel="0" collapsed="false">
      <c r="A12" s="172" t="s">
        <v>438</v>
      </c>
      <c r="B12" s="171" t="s">
        <v>423</v>
      </c>
      <c r="C12" s="172" t="s">
        <v>439</v>
      </c>
      <c r="D12" s="171" t="n">
        <v>2</v>
      </c>
      <c r="E12" s="172" t="s">
        <v>425</v>
      </c>
    </row>
    <row r="13" customFormat="false" ht="29" hidden="false" customHeight="false" outlineLevel="0" collapsed="false">
      <c r="A13" s="169" t="s">
        <v>438</v>
      </c>
      <c r="B13" s="168" t="s">
        <v>426</v>
      </c>
      <c r="C13" s="169" t="s">
        <v>440</v>
      </c>
      <c r="D13" s="168" t="n">
        <v>2</v>
      </c>
      <c r="E13" s="169" t="s">
        <v>425</v>
      </c>
    </row>
    <row r="14" customFormat="false" ht="29" hidden="false" customHeight="false" outlineLevel="0" collapsed="false">
      <c r="A14" s="172" t="s">
        <v>438</v>
      </c>
      <c r="B14" s="171" t="s">
        <v>428</v>
      </c>
      <c r="C14" s="172" t="s">
        <v>441</v>
      </c>
      <c r="D14" s="171" t="n">
        <v>1</v>
      </c>
      <c r="E14" s="172" t="s">
        <v>425</v>
      </c>
    </row>
    <row r="15" customFormat="false" ht="29" hidden="false" customHeight="false" outlineLevel="0" collapsed="false">
      <c r="A15" s="169" t="s">
        <v>442</v>
      </c>
      <c r="B15" s="168" t="s">
        <v>426</v>
      </c>
      <c r="C15" s="169" t="s">
        <v>443</v>
      </c>
      <c r="D15" s="168" t="n">
        <v>2</v>
      </c>
      <c r="E15" s="169" t="s">
        <v>425</v>
      </c>
    </row>
    <row r="16" customFormat="false" ht="29" hidden="false" customHeight="false" outlineLevel="0" collapsed="false">
      <c r="A16" s="172" t="s">
        <v>442</v>
      </c>
      <c r="B16" s="171" t="s">
        <v>423</v>
      </c>
      <c r="C16" s="172" t="s">
        <v>444</v>
      </c>
      <c r="D16" s="171" t="n">
        <v>2</v>
      </c>
      <c r="E16" s="172" t="s">
        <v>425</v>
      </c>
    </row>
    <row r="17" customFormat="false" ht="29" hidden="false" customHeight="false" outlineLevel="0" collapsed="false">
      <c r="A17" s="169" t="s">
        <v>442</v>
      </c>
      <c r="B17" s="168" t="s">
        <v>428</v>
      </c>
      <c r="C17" s="169" t="s">
        <v>445</v>
      </c>
      <c r="D17" s="168" t="n">
        <v>1</v>
      </c>
      <c r="E17" s="169" t="s">
        <v>425</v>
      </c>
    </row>
    <row r="18" customFormat="false" ht="29" hidden="false" customHeight="false" outlineLevel="0" collapsed="false">
      <c r="A18" s="172" t="s">
        <v>446</v>
      </c>
      <c r="B18" s="171" t="s">
        <v>423</v>
      </c>
      <c r="C18" s="172" t="s">
        <v>447</v>
      </c>
      <c r="D18" s="171" t="n">
        <v>3</v>
      </c>
      <c r="E18" s="172" t="s">
        <v>425</v>
      </c>
    </row>
    <row r="19" customFormat="false" ht="29" hidden="false" customHeight="false" outlineLevel="0" collapsed="false">
      <c r="A19" s="169" t="s">
        <v>446</v>
      </c>
      <c r="B19" s="168" t="s">
        <v>426</v>
      </c>
      <c r="C19" s="169" t="s">
        <v>448</v>
      </c>
      <c r="D19" s="168" t="n">
        <v>3</v>
      </c>
      <c r="E19" s="169" t="s">
        <v>425</v>
      </c>
    </row>
    <row r="20" customFormat="false" ht="29" hidden="false" customHeight="false" outlineLevel="0" collapsed="false">
      <c r="A20" s="172" t="s">
        <v>446</v>
      </c>
      <c r="B20" s="171" t="s">
        <v>428</v>
      </c>
      <c r="C20" s="172" t="s">
        <v>449</v>
      </c>
      <c r="D20" s="171" t="n">
        <v>2</v>
      </c>
      <c r="E20" s="172" t="s">
        <v>425</v>
      </c>
    </row>
    <row r="21" customFormat="false" ht="29" hidden="false" customHeight="false" outlineLevel="0" collapsed="false">
      <c r="A21" s="169" t="s">
        <v>450</v>
      </c>
      <c r="B21" s="168" t="s">
        <v>423</v>
      </c>
      <c r="C21" s="169" t="s">
        <v>451</v>
      </c>
      <c r="D21" s="168" t="n">
        <v>2</v>
      </c>
      <c r="E21" s="169" t="s">
        <v>425</v>
      </c>
    </row>
    <row r="22" customFormat="false" ht="29" hidden="false" customHeight="false" outlineLevel="0" collapsed="false">
      <c r="A22" s="172" t="s">
        <v>450</v>
      </c>
      <c r="B22" s="171" t="s">
        <v>426</v>
      </c>
      <c r="C22" s="172" t="s">
        <v>452</v>
      </c>
      <c r="D22" s="171" t="n">
        <v>2</v>
      </c>
      <c r="E22" s="172" t="s">
        <v>425</v>
      </c>
    </row>
    <row r="23" customFormat="false" ht="29" hidden="false" customHeight="false" outlineLevel="0" collapsed="false">
      <c r="A23" s="169" t="s">
        <v>450</v>
      </c>
      <c r="B23" s="168" t="s">
        <v>428</v>
      </c>
      <c r="C23" s="169" t="s">
        <v>453</v>
      </c>
      <c r="D23" s="168" t="n">
        <v>1</v>
      </c>
      <c r="E23" s="169" t="s">
        <v>425</v>
      </c>
    </row>
    <row r="24" customFormat="false" ht="29" hidden="false" customHeight="false" outlineLevel="0" collapsed="false">
      <c r="A24" s="172" t="s">
        <v>454</v>
      </c>
      <c r="B24" s="171" t="s">
        <v>423</v>
      </c>
      <c r="C24" s="172" t="s">
        <v>455</v>
      </c>
      <c r="D24" s="171" t="n">
        <v>2</v>
      </c>
      <c r="E24" s="172" t="s">
        <v>425</v>
      </c>
    </row>
    <row r="25" customFormat="false" ht="29" hidden="false" customHeight="false" outlineLevel="0" collapsed="false">
      <c r="A25" s="169" t="s">
        <v>454</v>
      </c>
      <c r="B25" s="168" t="s">
        <v>426</v>
      </c>
      <c r="C25" s="169" t="s">
        <v>456</v>
      </c>
      <c r="D25" s="168" t="n">
        <v>2</v>
      </c>
      <c r="E25" s="169" t="s">
        <v>425</v>
      </c>
    </row>
    <row r="26" customFormat="false" ht="29" hidden="false" customHeight="false" outlineLevel="0" collapsed="false">
      <c r="A26" s="172" t="s">
        <v>454</v>
      </c>
      <c r="B26" s="171" t="s">
        <v>428</v>
      </c>
      <c r="C26" s="172" t="s">
        <v>457</v>
      </c>
      <c r="D26" s="171" t="n">
        <v>1</v>
      </c>
      <c r="E26" s="172" t="s">
        <v>425</v>
      </c>
    </row>
    <row r="27" customFormat="false" ht="29" hidden="false" customHeight="false" outlineLevel="0" collapsed="false">
      <c r="A27" s="169" t="s">
        <v>458</v>
      </c>
      <c r="B27" s="168" t="s">
        <v>423</v>
      </c>
      <c r="C27" s="169" t="s">
        <v>459</v>
      </c>
      <c r="D27" s="168" t="n">
        <v>1</v>
      </c>
      <c r="E27" s="169" t="s">
        <v>425</v>
      </c>
    </row>
    <row r="28" customFormat="false" ht="29" hidden="false" customHeight="false" outlineLevel="0" collapsed="false">
      <c r="A28" s="172" t="s">
        <v>458</v>
      </c>
      <c r="B28" s="171" t="s">
        <v>426</v>
      </c>
      <c r="C28" s="172" t="s">
        <v>460</v>
      </c>
      <c r="D28" s="171" t="n">
        <v>1</v>
      </c>
      <c r="E28" s="172" t="s">
        <v>425</v>
      </c>
    </row>
    <row r="29" customFormat="false" ht="29" hidden="false" customHeight="false" outlineLevel="0" collapsed="false">
      <c r="A29" s="169" t="s">
        <v>458</v>
      </c>
      <c r="B29" s="168" t="s">
        <v>428</v>
      </c>
      <c r="C29" s="169" t="s">
        <v>461</v>
      </c>
      <c r="D29" s="168" t="n">
        <v>1</v>
      </c>
      <c r="E29" s="169" t="s">
        <v>425</v>
      </c>
    </row>
    <row r="30" customFormat="false" ht="29" hidden="false" customHeight="false" outlineLevel="0" collapsed="false">
      <c r="A30" s="172" t="s">
        <v>462</v>
      </c>
      <c r="B30" s="171" t="s">
        <v>426</v>
      </c>
      <c r="C30" s="172" t="s">
        <v>463</v>
      </c>
      <c r="D30" s="171" t="n">
        <v>2</v>
      </c>
      <c r="E30" s="172" t="s">
        <v>425</v>
      </c>
    </row>
    <row r="31" customFormat="false" ht="42.5" hidden="false" customHeight="false" outlineLevel="0" collapsed="false">
      <c r="A31" s="169" t="s">
        <v>462</v>
      </c>
      <c r="B31" s="168" t="s">
        <v>423</v>
      </c>
      <c r="C31" s="169" t="s">
        <v>464</v>
      </c>
      <c r="D31" s="168" t="n">
        <v>2</v>
      </c>
      <c r="E31" s="169" t="s">
        <v>425</v>
      </c>
    </row>
    <row r="32" customFormat="false" ht="42.5" hidden="false" customHeight="false" outlineLevel="0" collapsed="false">
      <c r="A32" s="172" t="s">
        <v>462</v>
      </c>
      <c r="B32" s="171" t="s">
        <v>428</v>
      </c>
      <c r="C32" s="172" t="s">
        <v>465</v>
      </c>
      <c r="D32" s="171" t="n">
        <v>1</v>
      </c>
      <c r="E32" s="172" t="s">
        <v>425</v>
      </c>
    </row>
    <row r="33" customFormat="false" ht="29" hidden="false" customHeight="false" outlineLevel="0" collapsed="false">
      <c r="A33" s="169" t="s">
        <v>466</v>
      </c>
      <c r="B33" s="168" t="s">
        <v>423</v>
      </c>
      <c r="C33" s="169" t="s">
        <v>467</v>
      </c>
      <c r="D33" s="168" t="n">
        <v>2</v>
      </c>
      <c r="E33" s="169" t="s">
        <v>425</v>
      </c>
    </row>
    <row r="34" customFormat="false" ht="29" hidden="false" customHeight="false" outlineLevel="0" collapsed="false">
      <c r="A34" s="172" t="s">
        <v>466</v>
      </c>
      <c r="B34" s="171" t="s">
        <v>426</v>
      </c>
      <c r="C34" s="172" t="s">
        <v>468</v>
      </c>
      <c r="D34" s="171" t="n">
        <v>2</v>
      </c>
      <c r="E34" s="172" t="s">
        <v>425</v>
      </c>
    </row>
    <row r="35" customFormat="false" ht="29" hidden="false" customHeight="false" outlineLevel="0" collapsed="false">
      <c r="A35" s="169" t="s">
        <v>466</v>
      </c>
      <c r="B35" s="168" t="s">
        <v>428</v>
      </c>
      <c r="C35" s="169" t="s">
        <v>469</v>
      </c>
      <c r="D35" s="168" t="n">
        <v>1</v>
      </c>
      <c r="E35" s="169" t="s">
        <v>425</v>
      </c>
    </row>
    <row r="36" customFormat="false" ht="29" hidden="false" customHeight="false" outlineLevel="0" collapsed="false">
      <c r="A36" s="172" t="s">
        <v>470</v>
      </c>
      <c r="B36" s="171" t="s">
        <v>423</v>
      </c>
      <c r="C36" s="172" t="s">
        <v>471</v>
      </c>
      <c r="D36" s="171" t="n">
        <v>2</v>
      </c>
      <c r="E36" s="172" t="s">
        <v>425</v>
      </c>
    </row>
    <row r="37" customFormat="false" ht="29" hidden="false" customHeight="false" outlineLevel="0" collapsed="false">
      <c r="A37" s="169" t="s">
        <v>470</v>
      </c>
      <c r="B37" s="168" t="s">
        <v>426</v>
      </c>
      <c r="C37" s="169" t="s">
        <v>472</v>
      </c>
      <c r="D37" s="168" t="n">
        <v>2</v>
      </c>
      <c r="E37" s="169" t="s">
        <v>425</v>
      </c>
    </row>
    <row r="38" customFormat="false" ht="29" hidden="false" customHeight="false" outlineLevel="0" collapsed="false">
      <c r="A38" s="172" t="s">
        <v>470</v>
      </c>
      <c r="B38" s="171" t="s">
        <v>428</v>
      </c>
      <c r="C38" s="172" t="s">
        <v>473</v>
      </c>
      <c r="D38" s="171" t="n">
        <v>1</v>
      </c>
      <c r="E38" s="172" t="s">
        <v>425</v>
      </c>
    </row>
    <row r="39" customFormat="false" ht="29" hidden="false" customHeight="false" outlineLevel="0" collapsed="false">
      <c r="A39" s="169" t="s">
        <v>474</v>
      </c>
      <c r="B39" s="168" t="s">
        <v>423</v>
      </c>
      <c r="C39" s="169" t="s">
        <v>475</v>
      </c>
      <c r="D39" s="168" t="n">
        <v>1</v>
      </c>
      <c r="E39" s="169" t="s">
        <v>425</v>
      </c>
    </row>
    <row r="40" customFormat="false" ht="29" hidden="false" customHeight="false" outlineLevel="0" collapsed="false">
      <c r="A40" s="172" t="s">
        <v>474</v>
      </c>
      <c r="B40" s="171" t="s">
        <v>426</v>
      </c>
      <c r="C40" s="172" t="s">
        <v>476</v>
      </c>
      <c r="D40" s="171" t="n">
        <v>1</v>
      </c>
      <c r="E40" s="172" t="s">
        <v>425</v>
      </c>
    </row>
    <row r="41" customFormat="false" ht="29" hidden="false" customHeight="false" outlineLevel="0" collapsed="false">
      <c r="A41" s="169" t="s">
        <v>474</v>
      </c>
      <c r="B41" s="168" t="s">
        <v>428</v>
      </c>
      <c r="C41" s="169" t="s">
        <v>477</v>
      </c>
      <c r="D41" s="168" t="n">
        <v>1</v>
      </c>
      <c r="E41" s="169" t="s">
        <v>425</v>
      </c>
    </row>
    <row r="42" customFormat="false" ht="29" hidden="false" customHeight="false" outlineLevel="0" collapsed="false">
      <c r="A42" s="172" t="s">
        <v>478</v>
      </c>
      <c r="B42" s="171" t="s">
        <v>423</v>
      </c>
      <c r="C42" s="172" t="s">
        <v>479</v>
      </c>
      <c r="D42" s="171" t="n">
        <v>1</v>
      </c>
      <c r="E42" s="172" t="s">
        <v>425</v>
      </c>
    </row>
    <row r="43" customFormat="false" ht="29" hidden="false" customHeight="false" outlineLevel="0" collapsed="false">
      <c r="A43" s="169" t="s">
        <v>478</v>
      </c>
      <c r="B43" s="168" t="s">
        <v>426</v>
      </c>
      <c r="C43" s="169" t="s">
        <v>480</v>
      </c>
      <c r="D43" s="168" t="n">
        <v>1</v>
      </c>
      <c r="E43" s="169" t="s">
        <v>425</v>
      </c>
    </row>
    <row r="44" customFormat="false" ht="29" hidden="false" customHeight="false" outlineLevel="0" collapsed="false">
      <c r="A44" s="172" t="s">
        <v>478</v>
      </c>
      <c r="B44" s="171" t="s">
        <v>428</v>
      </c>
      <c r="C44" s="172" t="s">
        <v>481</v>
      </c>
      <c r="D44" s="171" t="n">
        <v>1</v>
      </c>
      <c r="E44" s="172" t="s">
        <v>425</v>
      </c>
    </row>
    <row r="45" customFormat="false" ht="29" hidden="false" customHeight="false" outlineLevel="0" collapsed="false">
      <c r="A45" s="169" t="s">
        <v>482</v>
      </c>
      <c r="B45" s="168" t="s">
        <v>423</v>
      </c>
      <c r="C45" s="169" t="s">
        <v>483</v>
      </c>
      <c r="D45" s="168" t="n">
        <v>2</v>
      </c>
      <c r="E45" s="169" t="s">
        <v>425</v>
      </c>
    </row>
    <row r="46" customFormat="false" ht="29" hidden="false" customHeight="false" outlineLevel="0" collapsed="false">
      <c r="A46" s="172" t="s">
        <v>482</v>
      </c>
      <c r="B46" s="171" t="s">
        <v>426</v>
      </c>
      <c r="C46" s="172" t="s">
        <v>484</v>
      </c>
      <c r="D46" s="171" t="n">
        <v>2</v>
      </c>
      <c r="E46" s="172" t="s">
        <v>425</v>
      </c>
    </row>
    <row r="47" customFormat="false" ht="29" hidden="false" customHeight="false" outlineLevel="0" collapsed="false">
      <c r="A47" s="169" t="s">
        <v>482</v>
      </c>
      <c r="B47" s="168" t="s">
        <v>428</v>
      </c>
      <c r="C47" s="169" t="s">
        <v>485</v>
      </c>
      <c r="D47" s="168" t="n">
        <v>1</v>
      </c>
      <c r="E47" s="169" t="s">
        <v>425</v>
      </c>
    </row>
    <row r="48" customFormat="false" ht="29" hidden="false" customHeight="false" outlineLevel="0" collapsed="false">
      <c r="A48" s="172" t="s">
        <v>486</v>
      </c>
      <c r="B48" s="171" t="s">
        <v>423</v>
      </c>
      <c r="C48" s="172" t="s">
        <v>487</v>
      </c>
      <c r="D48" s="171" t="n">
        <v>3</v>
      </c>
      <c r="E48" s="172" t="s">
        <v>425</v>
      </c>
    </row>
    <row r="49" customFormat="false" ht="29" hidden="false" customHeight="false" outlineLevel="0" collapsed="false">
      <c r="A49" s="169" t="s">
        <v>486</v>
      </c>
      <c r="B49" s="168" t="s">
        <v>426</v>
      </c>
      <c r="C49" s="169" t="s">
        <v>488</v>
      </c>
      <c r="D49" s="168" t="n">
        <v>3</v>
      </c>
      <c r="E49" s="169" t="s">
        <v>425</v>
      </c>
    </row>
    <row r="50" customFormat="false" ht="29" hidden="false" customHeight="false" outlineLevel="0" collapsed="false">
      <c r="A50" s="172" t="s">
        <v>486</v>
      </c>
      <c r="B50" s="171" t="s">
        <v>428</v>
      </c>
      <c r="C50" s="172" t="s">
        <v>489</v>
      </c>
      <c r="D50" s="171" t="n">
        <v>2</v>
      </c>
      <c r="E50" s="172" t="s">
        <v>425</v>
      </c>
    </row>
    <row r="51" customFormat="false" ht="29" hidden="false" customHeight="false" outlineLevel="0" collapsed="false">
      <c r="A51" s="169" t="s">
        <v>490</v>
      </c>
      <c r="B51" s="168" t="s">
        <v>423</v>
      </c>
      <c r="C51" s="169" t="s">
        <v>491</v>
      </c>
      <c r="D51" s="168" t="n">
        <v>2</v>
      </c>
      <c r="E51" s="169" t="s">
        <v>425</v>
      </c>
    </row>
    <row r="52" customFormat="false" ht="29" hidden="false" customHeight="false" outlineLevel="0" collapsed="false">
      <c r="A52" s="172" t="s">
        <v>490</v>
      </c>
      <c r="B52" s="171" t="s">
        <v>426</v>
      </c>
      <c r="C52" s="172" t="s">
        <v>492</v>
      </c>
      <c r="D52" s="171" t="n">
        <v>2</v>
      </c>
      <c r="E52" s="172" t="s">
        <v>425</v>
      </c>
    </row>
    <row r="53" customFormat="false" ht="29" hidden="false" customHeight="false" outlineLevel="0" collapsed="false">
      <c r="A53" s="169" t="s">
        <v>490</v>
      </c>
      <c r="B53" s="168" t="s">
        <v>428</v>
      </c>
      <c r="C53" s="169" t="s">
        <v>493</v>
      </c>
      <c r="D53" s="168" t="n">
        <v>1</v>
      </c>
      <c r="E53" s="169" t="s">
        <v>425</v>
      </c>
    </row>
    <row r="54" customFormat="false" ht="42.5" hidden="false" customHeight="false" outlineLevel="0" collapsed="false">
      <c r="A54" s="172" t="s">
        <v>494</v>
      </c>
      <c r="B54" s="171" t="s">
        <v>426</v>
      </c>
      <c r="C54" s="172" t="s">
        <v>495</v>
      </c>
      <c r="D54" s="171" t="n">
        <v>2</v>
      </c>
      <c r="E54" s="172" t="s">
        <v>425</v>
      </c>
    </row>
    <row r="55" customFormat="false" ht="29" hidden="false" customHeight="false" outlineLevel="0" collapsed="false">
      <c r="A55" s="169" t="s">
        <v>494</v>
      </c>
      <c r="B55" s="168" t="s">
        <v>423</v>
      </c>
      <c r="C55" s="169" t="s">
        <v>496</v>
      </c>
      <c r="D55" s="168" t="n">
        <v>2</v>
      </c>
      <c r="E55" s="169" t="s">
        <v>425</v>
      </c>
    </row>
    <row r="56" customFormat="false" ht="29" hidden="false" customHeight="false" outlineLevel="0" collapsed="false">
      <c r="A56" s="172" t="s">
        <v>494</v>
      </c>
      <c r="B56" s="171" t="s">
        <v>428</v>
      </c>
      <c r="C56" s="172" t="s">
        <v>497</v>
      </c>
      <c r="D56" s="171" t="n">
        <v>1</v>
      </c>
      <c r="E56" s="172" t="s">
        <v>425</v>
      </c>
    </row>
    <row r="57" customFormat="false" ht="29" hidden="false" customHeight="false" outlineLevel="0" collapsed="false">
      <c r="A57" s="169" t="s">
        <v>498</v>
      </c>
      <c r="B57" s="168" t="s">
        <v>423</v>
      </c>
      <c r="C57" s="169" t="s">
        <v>499</v>
      </c>
      <c r="D57" s="168" t="n">
        <v>2</v>
      </c>
      <c r="E57" s="169" t="s">
        <v>425</v>
      </c>
    </row>
    <row r="58" customFormat="false" ht="29" hidden="false" customHeight="false" outlineLevel="0" collapsed="false">
      <c r="A58" s="172" t="s">
        <v>498</v>
      </c>
      <c r="B58" s="171" t="s">
        <v>426</v>
      </c>
      <c r="C58" s="172" t="s">
        <v>500</v>
      </c>
      <c r="D58" s="171" t="n">
        <v>2</v>
      </c>
      <c r="E58" s="172" t="s">
        <v>425</v>
      </c>
    </row>
    <row r="59" customFormat="false" ht="29" hidden="false" customHeight="false" outlineLevel="0" collapsed="false">
      <c r="A59" s="169" t="s">
        <v>498</v>
      </c>
      <c r="B59" s="168" t="s">
        <v>428</v>
      </c>
      <c r="C59" s="169" t="s">
        <v>501</v>
      </c>
      <c r="D59" s="168" t="n">
        <v>1</v>
      </c>
      <c r="E59" s="169" t="s">
        <v>425</v>
      </c>
    </row>
    <row r="60" customFormat="false" ht="29" hidden="false" customHeight="false" outlineLevel="0" collapsed="false">
      <c r="A60" s="172" t="s">
        <v>502</v>
      </c>
      <c r="B60" s="171" t="s">
        <v>423</v>
      </c>
      <c r="C60" s="172" t="s">
        <v>503</v>
      </c>
      <c r="D60" s="171" t="n">
        <v>2</v>
      </c>
      <c r="E60" s="172" t="s">
        <v>425</v>
      </c>
    </row>
    <row r="61" customFormat="false" ht="29" hidden="false" customHeight="false" outlineLevel="0" collapsed="false">
      <c r="A61" s="169" t="s">
        <v>502</v>
      </c>
      <c r="B61" s="168" t="s">
        <v>426</v>
      </c>
      <c r="C61" s="169" t="s">
        <v>504</v>
      </c>
      <c r="D61" s="168" t="n">
        <v>2</v>
      </c>
      <c r="E61" s="169" t="s">
        <v>425</v>
      </c>
    </row>
    <row r="62" customFormat="false" ht="29" hidden="false" customHeight="false" outlineLevel="0" collapsed="false">
      <c r="A62" s="172" t="s">
        <v>502</v>
      </c>
      <c r="B62" s="171" t="s">
        <v>428</v>
      </c>
      <c r="C62" s="172" t="s">
        <v>505</v>
      </c>
      <c r="D62" s="171" t="n">
        <v>1</v>
      </c>
      <c r="E62" s="172" t="s">
        <v>425</v>
      </c>
    </row>
    <row r="63" customFormat="false" ht="29" hidden="false" customHeight="false" outlineLevel="0" collapsed="false">
      <c r="A63" s="169" t="s">
        <v>506</v>
      </c>
      <c r="B63" s="168" t="s">
        <v>423</v>
      </c>
      <c r="C63" s="169" t="s">
        <v>507</v>
      </c>
      <c r="D63" s="168" t="n">
        <v>2</v>
      </c>
      <c r="E63" s="169" t="s">
        <v>425</v>
      </c>
    </row>
    <row r="64" customFormat="false" ht="29" hidden="false" customHeight="false" outlineLevel="0" collapsed="false">
      <c r="A64" s="172" t="s">
        <v>506</v>
      </c>
      <c r="B64" s="171" t="s">
        <v>426</v>
      </c>
      <c r="C64" s="172" t="s">
        <v>508</v>
      </c>
      <c r="D64" s="171" t="n">
        <v>2</v>
      </c>
      <c r="E64" s="172" t="s">
        <v>425</v>
      </c>
    </row>
    <row r="65" customFormat="false" ht="29" hidden="false" customHeight="false" outlineLevel="0" collapsed="false">
      <c r="A65" s="169" t="s">
        <v>506</v>
      </c>
      <c r="B65" s="168" t="s">
        <v>428</v>
      </c>
      <c r="C65" s="169" t="s">
        <v>509</v>
      </c>
      <c r="D65" s="168" t="n">
        <v>1</v>
      </c>
      <c r="E65" s="169" t="s">
        <v>425</v>
      </c>
    </row>
    <row r="66" customFormat="false" ht="29" hidden="false" customHeight="false" outlineLevel="0" collapsed="false">
      <c r="A66" s="172" t="s">
        <v>510</v>
      </c>
      <c r="B66" s="171" t="s">
        <v>423</v>
      </c>
      <c r="C66" s="172" t="s">
        <v>511</v>
      </c>
      <c r="D66" s="171" t="n">
        <v>2</v>
      </c>
      <c r="E66" s="172" t="s">
        <v>425</v>
      </c>
    </row>
    <row r="67" customFormat="false" ht="29" hidden="false" customHeight="false" outlineLevel="0" collapsed="false">
      <c r="A67" s="169" t="s">
        <v>510</v>
      </c>
      <c r="B67" s="168" t="s">
        <v>426</v>
      </c>
      <c r="C67" s="169" t="s">
        <v>512</v>
      </c>
      <c r="D67" s="168" t="n">
        <v>2</v>
      </c>
      <c r="E67" s="168" t="s">
        <v>425</v>
      </c>
    </row>
    <row r="68" customFormat="false" ht="29" hidden="false" customHeight="false" outlineLevel="0" collapsed="false">
      <c r="A68" s="172" t="s">
        <v>510</v>
      </c>
      <c r="B68" s="171" t="s">
        <v>428</v>
      </c>
      <c r="C68" s="172" t="s">
        <v>513</v>
      </c>
      <c r="D68" s="171" t="n">
        <v>1</v>
      </c>
      <c r="E68" s="171" t="s">
        <v>425</v>
      </c>
    </row>
    <row r="69" customFormat="false" ht="29" hidden="false" customHeight="false" outlineLevel="0" collapsed="false">
      <c r="A69" s="169" t="s">
        <v>514</v>
      </c>
      <c r="B69" s="168" t="s">
        <v>426</v>
      </c>
      <c r="C69" s="169" t="s">
        <v>515</v>
      </c>
      <c r="D69" s="168" t="n">
        <v>2</v>
      </c>
      <c r="E69" s="168" t="s">
        <v>425</v>
      </c>
    </row>
    <row r="70" customFormat="false" ht="29" hidden="false" customHeight="false" outlineLevel="0" collapsed="false">
      <c r="A70" s="172" t="s">
        <v>514</v>
      </c>
      <c r="B70" s="171" t="s">
        <v>423</v>
      </c>
      <c r="C70" s="172" t="s">
        <v>516</v>
      </c>
      <c r="D70" s="171" t="n">
        <v>2</v>
      </c>
      <c r="E70" s="171" t="s">
        <v>425</v>
      </c>
    </row>
    <row r="71" customFormat="false" ht="29" hidden="false" customHeight="false" outlineLevel="0" collapsed="false">
      <c r="A71" s="169" t="s">
        <v>514</v>
      </c>
      <c r="B71" s="168" t="s">
        <v>428</v>
      </c>
      <c r="C71" s="169" t="s">
        <v>517</v>
      </c>
      <c r="D71" s="168" t="n">
        <v>1</v>
      </c>
      <c r="E71" s="168" t="s">
        <v>425</v>
      </c>
    </row>
    <row r="72" customFormat="false" ht="29" hidden="false" customHeight="false" outlineLevel="0" collapsed="false">
      <c r="A72" s="172" t="s">
        <v>518</v>
      </c>
      <c r="B72" s="171" t="s">
        <v>423</v>
      </c>
      <c r="C72" s="172" t="s">
        <v>519</v>
      </c>
      <c r="D72" s="171" t="n">
        <v>2</v>
      </c>
      <c r="E72" s="171" t="s">
        <v>520</v>
      </c>
    </row>
    <row r="73" customFormat="false" ht="29" hidden="false" customHeight="false" outlineLevel="0" collapsed="false">
      <c r="A73" s="169" t="s">
        <v>518</v>
      </c>
      <c r="B73" s="168" t="s">
        <v>426</v>
      </c>
      <c r="C73" s="169" t="s">
        <v>521</v>
      </c>
      <c r="D73" s="168" t="n">
        <v>2</v>
      </c>
      <c r="E73" s="168" t="s">
        <v>520</v>
      </c>
    </row>
    <row r="74" customFormat="false" ht="29" hidden="false" customHeight="false" outlineLevel="0" collapsed="false">
      <c r="A74" s="172" t="s">
        <v>518</v>
      </c>
      <c r="B74" s="171" t="s">
        <v>428</v>
      </c>
      <c r="C74" s="172" t="s">
        <v>522</v>
      </c>
      <c r="D74" s="171" t="n">
        <v>1</v>
      </c>
      <c r="E74" s="171" t="s">
        <v>520</v>
      </c>
    </row>
    <row r="75" customFormat="false" ht="29" hidden="false" customHeight="false" outlineLevel="0" collapsed="false">
      <c r="A75" s="169" t="s">
        <v>523</v>
      </c>
      <c r="B75" s="168" t="s">
        <v>423</v>
      </c>
      <c r="C75" s="169" t="s">
        <v>524</v>
      </c>
      <c r="D75" s="168" t="n">
        <v>2</v>
      </c>
      <c r="E75" s="168" t="s">
        <v>520</v>
      </c>
    </row>
    <row r="76" customFormat="false" ht="29" hidden="false" customHeight="false" outlineLevel="0" collapsed="false">
      <c r="A76" s="172" t="s">
        <v>523</v>
      </c>
      <c r="B76" s="171" t="s">
        <v>426</v>
      </c>
      <c r="C76" s="172" t="s">
        <v>525</v>
      </c>
      <c r="D76" s="171" t="n">
        <v>2</v>
      </c>
      <c r="E76" s="171" t="s">
        <v>520</v>
      </c>
    </row>
    <row r="77" customFormat="false" ht="29" hidden="false" customHeight="false" outlineLevel="0" collapsed="false">
      <c r="A77" s="169" t="s">
        <v>523</v>
      </c>
      <c r="B77" s="168" t="s">
        <v>428</v>
      </c>
      <c r="C77" s="169" t="s">
        <v>526</v>
      </c>
      <c r="D77" s="168" t="n">
        <v>1</v>
      </c>
      <c r="E77" s="168" t="s">
        <v>520</v>
      </c>
    </row>
    <row r="78" customFormat="false" ht="29" hidden="false" customHeight="false" outlineLevel="0" collapsed="false">
      <c r="A78" s="172" t="s">
        <v>527</v>
      </c>
      <c r="B78" s="171" t="s">
        <v>423</v>
      </c>
      <c r="C78" s="172" t="s">
        <v>528</v>
      </c>
      <c r="D78" s="171" t="n">
        <v>2</v>
      </c>
      <c r="E78" s="171" t="s">
        <v>520</v>
      </c>
    </row>
    <row r="79" customFormat="false" ht="29" hidden="false" customHeight="false" outlineLevel="0" collapsed="false">
      <c r="A79" s="169" t="s">
        <v>527</v>
      </c>
      <c r="B79" s="168" t="s">
        <v>426</v>
      </c>
      <c r="C79" s="169" t="s">
        <v>529</v>
      </c>
      <c r="D79" s="168" t="n">
        <v>2</v>
      </c>
      <c r="E79" s="168" t="s">
        <v>520</v>
      </c>
    </row>
    <row r="80" customFormat="false" ht="29" hidden="false" customHeight="false" outlineLevel="0" collapsed="false">
      <c r="A80" s="172" t="s">
        <v>527</v>
      </c>
      <c r="B80" s="171" t="s">
        <v>428</v>
      </c>
      <c r="C80" s="172" t="s">
        <v>530</v>
      </c>
      <c r="D80" s="171" t="n">
        <v>1</v>
      </c>
      <c r="E80" s="171" t="s">
        <v>520</v>
      </c>
    </row>
    <row r="81" customFormat="false" ht="29" hidden="false" customHeight="false" outlineLevel="0" collapsed="false">
      <c r="A81" s="169" t="s">
        <v>531</v>
      </c>
      <c r="B81" s="168" t="s">
        <v>423</v>
      </c>
      <c r="C81" s="169" t="s">
        <v>532</v>
      </c>
      <c r="D81" s="168" t="n">
        <v>1</v>
      </c>
      <c r="E81" s="168" t="s">
        <v>520</v>
      </c>
    </row>
    <row r="82" customFormat="false" ht="29" hidden="false" customHeight="false" outlineLevel="0" collapsed="false">
      <c r="A82" s="172" t="s">
        <v>531</v>
      </c>
      <c r="B82" s="171" t="s">
        <v>426</v>
      </c>
      <c r="C82" s="172" t="s">
        <v>533</v>
      </c>
      <c r="D82" s="171" t="n">
        <v>1</v>
      </c>
      <c r="E82" s="171" t="s">
        <v>520</v>
      </c>
    </row>
    <row r="83" customFormat="false" ht="29" hidden="false" customHeight="false" outlineLevel="0" collapsed="false">
      <c r="A83" s="169" t="s">
        <v>531</v>
      </c>
      <c r="B83" s="168" t="s">
        <v>428</v>
      </c>
      <c r="C83" s="169" t="s">
        <v>534</v>
      </c>
      <c r="D83" s="168" t="n">
        <v>1</v>
      </c>
      <c r="E83" s="168" t="s">
        <v>520</v>
      </c>
    </row>
    <row r="84" customFormat="false" ht="29" hidden="false" customHeight="false" outlineLevel="0" collapsed="false">
      <c r="A84" s="172" t="s">
        <v>535</v>
      </c>
      <c r="B84" s="171" t="s">
        <v>423</v>
      </c>
      <c r="C84" s="172" t="s">
        <v>536</v>
      </c>
      <c r="D84" s="171" t="n">
        <v>3</v>
      </c>
      <c r="E84" s="171" t="s">
        <v>520</v>
      </c>
    </row>
    <row r="85" customFormat="false" ht="29" hidden="false" customHeight="false" outlineLevel="0" collapsed="false">
      <c r="A85" s="169" t="s">
        <v>535</v>
      </c>
      <c r="B85" s="168" t="s">
        <v>426</v>
      </c>
      <c r="C85" s="169" t="s">
        <v>537</v>
      </c>
      <c r="D85" s="168" t="n">
        <v>3</v>
      </c>
      <c r="E85" s="168" t="s">
        <v>520</v>
      </c>
    </row>
    <row r="86" customFormat="false" ht="42.5" hidden="false" customHeight="false" outlineLevel="0" collapsed="false">
      <c r="A86" s="172" t="s">
        <v>535</v>
      </c>
      <c r="B86" s="171" t="s">
        <v>428</v>
      </c>
      <c r="C86" s="172" t="s">
        <v>538</v>
      </c>
      <c r="D86" s="171" t="n">
        <v>2</v>
      </c>
      <c r="E86" s="171" t="s">
        <v>520</v>
      </c>
    </row>
    <row r="87" customFormat="false" ht="14.5" hidden="false" customHeight="false" outlineLevel="0" collapsed="false">
      <c r="A87" s="173" t="s">
        <v>539</v>
      </c>
      <c r="B87" s="174"/>
      <c r="C87" s="174"/>
      <c r="D87" s="175" t="n">
        <f aca="false">SUM(A3:D86)</f>
        <v>139</v>
      </c>
      <c r="E87" s="176"/>
    </row>
  </sheetData>
  <mergeCells count="1">
    <mergeCell ref="A1:E1"/>
  </mergeCells>
  <printOptions headings="false" gridLines="false" gridLinesSet="true" horizontalCentered="false" verticalCentered="false"/>
  <pageMargins left="0.7" right="0.7" top="0.75" bottom="0.75" header="0.511811023622047" footer="0.511811023622047"/>
  <pageSetup paperSize="1" scale="75" fitToWidth="1" fitToHeight="1" pageOrder="downThenOver" orientation="landscape" blackAndWhite="false" draft="false" cellComments="none" horizontalDpi="300" verticalDpi="300" copies="1"/>
  <headerFooter differentFirst="false" differentOddEven="false">
    <oddHeader/>
    <oddFooter/>
  </headerFooter>
  <rowBreaks count="3" manualBreakCount="3">
    <brk id="24" man="true" max="16383" min="0"/>
    <brk id="46" man="true" max="16383" min="0"/>
    <brk id="67"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
  <sheetViews>
    <sheetView showFormulas="false" showGridLines="false" showRowColHeaders="true" showZeros="true" rightToLeft="false" tabSelected="false" showOutlineSymbols="true" defaultGridColor="true" view="pageBreakPreview" topLeftCell="A1" colorId="64" zoomScale="85" zoomScaleNormal="75" zoomScalePageLayoutView="8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8" width="25.29"/>
    <col collapsed="false" customWidth="true" hidden="false" outlineLevel="0" max="2" min="2" style="18" width="14.42"/>
    <col collapsed="false" customWidth="true" hidden="false" outlineLevel="0" max="3" min="3" style="18" width="15.29"/>
    <col collapsed="false" customWidth="true" hidden="false" outlineLevel="0" max="4" min="4" style="18" width="13.57"/>
    <col collapsed="false" customWidth="true" hidden="false" outlineLevel="0" max="5" min="5" style="18" width="14.29"/>
    <col collapsed="false" customWidth="true" hidden="false" outlineLevel="0" max="11" min="11" style="18" width="4.71"/>
    <col collapsed="false" customWidth="true" hidden="false" outlineLevel="0" max="12" min="12" style="18" width="13"/>
    <col collapsed="false" customWidth="true" hidden="false" outlineLevel="0" max="13" min="13" style="18" width="10.29"/>
    <col collapsed="false" customWidth="true" hidden="false" outlineLevel="0" max="14" min="14" style="18" width="10.42"/>
  </cols>
  <sheetData>
    <row r="1" customFormat="false" ht="15" hidden="false" customHeight="true" outlineLevel="0" collapsed="false">
      <c r="A1" s="177" t="s">
        <v>540</v>
      </c>
      <c r="B1" s="177"/>
      <c r="K1" s="178" t="s">
        <v>541</v>
      </c>
      <c r="L1" s="178"/>
      <c r="M1" s="178"/>
      <c r="N1" s="178"/>
    </row>
    <row r="2" customFormat="false" ht="29" hidden="false" customHeight="false" outlineLevel="0" collapsed="false">
      <c r="A2" s="179" t="s">
        <v>542</v>
      </c>
      <c r="B2" s="180" t="n">
        <v>46083</v>
      </c>
      <c r="K2" s="181" t="s">
        <v>543</v>
      </c>
      <c r="L2" s="182" t="s">
        <v>544</v>
      </c>
      <c r="M2" s="182" t="s">
        <v>545</v>
      </c>
      <c r="N2" s="183" t="s">
        <v>546</v>
      </c>
    </row>
    <row r="3" customFormat="false" ht="15" hidden="false" customHeight="false" outlineLevel="0" collapsed="false">
      <c r="A3" s="184" t="s">
        <v>547</v>
      </c>
      <c r="B3" s="185" t="n">
        <v>46094</v>
      </c>
      <c r="K3" s="186" t="n">
        <v>1</v>
      </c>
      <c r="L3" s="187" t="n">
        <f aca="false">B5</f>
        <v>23</v>
      </c>
      <c r="M3" s="188" t="n">
        <f aca="false">B5-N3</f>
        <v>23</v>
      </c>
      <c r="N3" s="189" t="n">
        <v>0</v>
      </c>
    </row>
    <row r="4" customFormat="false" ht="33.75" hidden="false" customHeight="true" outlineLevel="0" collapsed="false">
      <c r="A4" s="190" t="s">
        <v>548</v>
      </c>
      <c r="B4" s="191" t="n">
        <v>10</v>
      </c>
      <c r="K4" s="192" t="n">
        <v>2</v>
      </c>
      <c r="L4" s="193" t="n">
        <f aca="false">L3-$B$6</f>
        <v>20.7</v>
      </c>
      <c r="M4" s="194" t="n">
        <v>22</v>
      </c>
      <c r="N4" s="189" t="n">
        <v>0</v>
      </c>
    </row>
    <row r="5" customFormat="false" ht="15" hidden="false" customHeight="false" outlineLevel="0" collapsed="false">
      <c r="A5" s="195" t="s">
        <v>549</v>
      </c>
      <c r="B5" s="196" t="n">
        <v>23</v>
      </c>
      <c r="K5" s="186" t="n">
        <v>3</v>
      </c>
      <c r="L5" s="187" t="n">
        <f aca="false">L4-$B$6</f>
        <v>18.4</v>
      </c>
      <c r="M5" s="188" t="n">
        <v>19.5</v>
      </c>
      <c r="N5" s="189" t="n">
        <v>0</v>
      </c>
    </row>
    <row r="6" customFormat="false" ht="15" hidden="false" customHeight="false" outlineLevel="0" collapsed="false">
      <c r="A6" s="197" t="s">
        <v>550</v>
      </c>
      <c r="B6" s="198" t="n">
        <f aca="false">B5/B4</f>
        <v>2.3</v>
      </c>
      <c r="K6" s="192" t="n">
        <v>4</v>
      </c>
      <c r="L6" s="193" t="n">
        <f aca="false">L5-$B$6</f>
        <v>16.1</v>
      </c>
      <c r="M6" s="194" t="n">
        <v>17</v>
      </c>
      <c r="N6" s="189" t="n">
        <v>0</v>
      </c>
    </row>
    <row r="7" customFormat="false" ht="15" hidden="false" customHeight="false" outlineLevel="0" collapsed="false">
      <c r="A7" s="199"/>
      <c r="B7" s="200"/>
      <c r="K7" s="186" t="n">
        <v>5</v>
      </c>
      <c r="L7" s="187" t="n">
        <f aca="false">L6-$B$6</f>
        <v>13.8</v>
      </c>
      <c r="M7" s="188" t="n">
        <v>14</v>
      </c>
      <c r="N7" s="189" t="n">
        <v>0</v>
      </c>
    </row>
    <row r="8" customFormat="false" ht="15" hidden="false" customHeight="false" outlineLevel="0" collapsed="false">
      <c r="A8" s="201" t="s">
        <v>397</v>
      </c>
      <c r="B8" s="201"/>
      <c r="K8" s="192" t="n">
        <v>6</v>
      </c>
      <c r="L8" s="193" t="n">
        <f aca="false">L7-$B$6</f>
        <v>11.5</v>
      </c>
      <c r="M8" s="194" t="n">
        <v>11.5</v>
      </c>
      <c r="N8" s="189" t="n">
        <v>0</v>
      </c>
    </row>
    <row r="9" customFormat="false" ht="15" hidden="false" customHeight="false" outlineLevel="0" collapsed="false">
      <c r="A9" s="202" t="s">
        <v>551</v>
      </c>
      <c r="B9" s="203" t="n">
        <v>10</v>
      </c>
      <c r="K9" s="186" t="n">
        <v>7</v>
      </c>
      <c r="L9" s="187" t="n">
        <f aca="false">L8-$B$6</f>
        <v>9.2</v>
      </c>
      <c r="M9" s="188" t="n">
        <v>8</v>
      </c>
      <c r="N9" s="189" t="n">
        <v>0</v>
      </c>
    </row>
    <row r="10" customFormat="false" ht="15" hidden="false" customHeight="false" outlineLevel="0" collapsed="false">
      <c r="A10" s="204" t="s">
        <v>552</v>
      </c>
      <c r="B10" s="205" t="n">
        <f aca="false">6/8</f>
        <v>0.75</v>
      </c>
      <c r="K10" s="192" t="n">
        <v>8</v>
      </c>
      <c r="L10" s="193" t="n">
        <f aca="false">L9-$B$6</f>
        <v>6.9</v>
      </c>
      <c r="M10" s="194" t="n">
        <v>5</v>
      </c>
      <c r="N10" s="189" t="n">
        <v>0</v>
      </c>
    </row>
    <row r="11" customFormat="false" ht="15" hidden="false" customHeight="false" outlineLevel="0" collapsed="false">
      <c r="A11" s="204" t="s">
        <v>553</v>
      </c>
      <c r="B11" s="205" t="n">
        <f aca="false">3/8</f>
        <v>0.375</v>
      </c>
      <c r="K11" s="186" t="n">
        <v>9</v>
      </c>
      <c r="L11" s="187" t="n">
        <f aca="false">L10-$B$6</f>
        <v>4.6</v>
      </c>
      <c r="M11" s="188" t="n">
        <v>2</v>
      </c>
      <c r="N11" s="189" t="n">
        <v>0</v>
      </c>
    </row>
    <row r="12" customFormat="false" ht="15" hidden="false" customHeight="false" outlineLevel="0" collapsed="false">
      <c r="A12" s="204" t="s">
        <v>554</v>
      </c>
      <c r="B12" s="205" t="n">
        <f aca="false">3/8</f>
        <v>0.375</v>
      </c>
      <c r="K12" s="206" t="n">
        <v>10</v>
      </c>
      <c r="L12" s="207" t="n">
        <v>0</v>
      </c>
      <c r="M12" s="208" t="n">
        <v>0</v>
      </c>
      <c r="N12" s="209" t="n">
        <v>0</v>
      </c>
    </row>
    <row r="13" customFormat="false" ht="15" hidden="false" customHeight="false" outlineLevel="0" collapsed="false">
      <c r="A13" s="210" t="s">
        <v>555</v>
      </c>
      <c r="B13" s="211" t="n">
        <v>0</v>
      </c>
    </row>
    <row r="14" customFormat="false" ht="15" hidden="false" customHeight="false" outlineLevel="0" collapsed="false">
      <c r="A14" s="212" t="s">
        <v>556</v>
      </c>
      <c r="B14" s="213" t="n">
        <f aca="false">B9-B10-B11-B12-B13</f>
        <v>8.5</v>
      </c>
    </row>
    <row r="15" customFormat="false" ht="37.5" hidden="false" customHeight="true" outlineLevel="0" collapsed="false">
      <c r="K15" s="214" t="s">
        <v>557</v>
      </c>
      <c r="L15" s="214"/>
      <c r="M15" s="214"/>
      <c r="N15" s="214"/>
      <c r="O15" s="215"/>
      <c r="P15" s="215"/>
    </row>
    <row r="16" customFormat="false" ht="37.5" hidden="false" customHeight="true" outlineLevel="0" collapsed="false">
      <c r="K16" s="216" t="s">
        <v>558</v>
      </c>
      <c r="L16" s="216"/>
      <c r="M16" s="216"/>
      <c r="N16" s="216"/>
    </row>
    <row r="18" customFormat="false" ht="15" hidden="false" customHeight="false" outlineLevel="0" collapsed="false">
      <c r="K18" s="217"/>
      <c r="L18" s="217"/>
      <c r="M18" s="217"/>
      <c r="N18" s="217"/>
    </row>
  </sheetData>
  <mergeCells count="6">
    <mergeCell ref="A1:B1"/>
    <mergeCell ref="K1:N1"/>
    <mergeCell ref="A8:B8"/>
    <mergeCell ref="K15:N15"/>
    <mergeCell ref="K16:N16"/>
    <mergeCell ref="K18:N18"/>
  </mergeCells>
  <printOptions headings="false" gridLines="false" gridLinesSet="true" horizontalCentered="false" verticalCentered="false"/>
  <pageMargins left="0.7" right="0.7" top="0.75" bottom="0.75" header="0.511811023622047" footer="0.511811023622047"/>
  <pageSetup paperSize="1" scale="68"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9"/>
  <sheetViews>
    <sheetView showFormulas="false" showGridLines="false" showRowColHeaders="true" showZeros="true" rightToLeft="false" tabSelected="false" showOutlineSymbols="true" defaultGridColor="true" view="pageBreakPreview" topLeftCell="A1" colorId="64" zoomScale="85" zoomScaleNormal="75" zoomScalePageLayoutView="85" workbookViewId="0">
      <selection pane="topLeft" activeCell="B4" activeCellId="0" sqref="B4"/>
    </sheetView>
  </sheetViews>
  <sheetFormatPr defaultColWidth="11.42578125" defaultRowHeight="15" customHeight="false" zeroHeight="false" outlineLevelRow="0" outlineLevelCol="0"/>
  <cols>
    <col collapsed="false" customWidth="true" hidden="false" outlineLevel="0" max="1" min="1" style="18" width="24.71"/>
    <col collapsed="false" customWidth="true" hidden="false" outlineLevel="0" max="2" min="2" style="18" width="14.42"/>
    <col collapsed="false" customWidth="true" hidden="false" outlineLevel="0" max="3" min="3" style="18" width="15.29"/>
    <col collapsed="false" customWidth="true" hidden="false" outlineLevel="0" max="4" min="4" style="18" width="13.57"/>
    <col collapsed="false" customWidth="true" hidden="false" outlineLevel="0" max="5" min="5" style="18" width="14.29"/>
    <col collapsed="false" customWidth="true" hidden="false" outlineLevel="0" max="11" min="11" style="18" width="4.71"/>
    <col collapsed="false" customWidth="true" hidden="false" outlineLevel="0" max="12" min="12" style="18" width="11.29"/>
    <col collapsed="false" customWidth="true" hidden="false" outlineLevel="0" max="13" min="13" style="18" width="10.42"/>
    <col collapsed="false" customWidth="true" hidden="false" outlineLevel="0" max="14" min="14" style="18" width="8.15"/>
  </cols>
  <sheetData>
    <row r="1" customFormat="false" ht="15" hidden="false" customHeight="true" outlineLevel="0" collapsed="false">
      <c r="A1" s="218" t="s">
        <v>540</v>
      </c>
      <c r="B1" s="218"/>
      <c r="K1" s="219" t="s">
        <v>541</v>
      </c>
      <c r="L1" s="219"/>
      <c r="M1" s="219"/>
      <c r="N1" s="219"/>
    </row>
    <row r="2" customFormat="false" ht="33.75" hidden="false" customHeight="true" outlineLevel="0" collapsed="false">
      <c r="A2" s="179" t="s">
        <v>542</v>
      </c>
      <c r="B2" s="220" t="n">
        <v>46097</v>
      </c>
      <c r="K2" s="181" t="s">
        <v>543</v>
      </c>
      <c r="L2" s="182" t="s">
        <v>544</v>
      </c>
      <c r="M2" s="182" t="s">
        <v>545</v>
      </c>
      <c r="N2" s="183" t="s">
        <v>546</v>
      </c>
    </row>
    <row r="3" customFormat="false" ht="15" hidden="false" customHeight="false" outlineLevel="0" collapsed="false">
      <c r="A3" s="184" t="s">
        <v>547</v>
      </c>
      <c r="B3" s="221" t="n">
        <v>46108</v>
      </c>
      <c r="K3" s="222" t="n">
        <v>1</v>
      </c>
      <c r="L3" s="223" t="n">
        <f aca="false">B5</f>
        <v>26</v>
      </c>
      <c r="M3" s="224" t="n">
        <f aca="false">B5-N3</f>
        <v>26</v>
      </c>
      <c r="N3" s="225" t="n">
        <v>0</v>
      </c>
    </row>
    <row r="4" customFormat="false" ht="29" hidden="false" customHeight="false" outlineLevel="0" collapsed="false">
      <c r="A4" s="190" t="s">
        <v>548</v>
      </c>
      <c r="B4" s="226" t="n">
        <v>10</v>
      </c>
      <c r="K4" s="192" t="n">
        <v>2</v>
      </c>
      <c r="L4" s="193" t="n">
        <f aca="false">L3-$B$6</f>
        <v>23.4</v>
      </c>
      <c r="M4" s="194" t="n">
        <v>25.5</v>
      </c>
      <c r="N4" s="189" t="n">
        <v>0</v>
      </c>
    </row>
    <row r="5" customFormat="false" ht="15" hidden="false" customHeight="true" outlineLevel="0" collapsed="false">
      <c r="A5" s="195" t="s">
        <v>549</v>
      </c>
      <c r="B5" s="227" t="n">
        <v>26</v>
      </c>
      <c r="K5" s="186" t="n">
        <v>3</v>
      </c>
      <c r="L5" s="187" t="n">
        <f aca="false">L4-$B$6</f>
        <v>20.8</v>
      </c>
      <c r="M5" s="188" t="n">
        <v>25</v>
      </c>
      <c r="N5" s="189" t="n">
        <v>0</v>
      </c>
    </row>
    <row r="6" customFormat="false" ht="29" hidden="false" customHeight="false" outlineLevel="0" collapsed="false">
      <c r="A6" s="228" t="s">
        <v>559</v>
      </c>
      <c r="B6" s="229" t="n">
        <f aca="false">B5/B4</f>
        <v>2.6</v>
      </c>
      <c r="K6" s="192" t="n">
        <v>4</v>
      </c>
      <c r="L6" s="193" t="n">
        <f aca="false">L5-$B$6</f>
        <v>18.2</v>
      </c>
      <c r="M6" s="194" t="n">
        <v>21</v>
      </c>
      <c r="N6" s="189" t="n">
        <v>0</v>
      </c>
    </row>
    <row r="7" customFormat="false" ht="15" hidden="false" customHeight="false" outlineLevel="0" collapsed="false">
      <c r="K7" s="186" t="n">
        <v>5</v>
      </c>
      <c r="L7" s="187" t="n">
        <f aca="false">L6-$B$6</f>
        <v>15.6</v>
      </c>
      <c r="M7" s="188" t="n">
        <v>17.5</v>
      </c>
      <c r="N7" s="189" t="n">
        <v>0</v>
      </c>
    </row>
    <row r="8" customFormat="false" ht="15" hidden="false" customHeight="false" outlineLevel="0" collapsed="false">
      <c r="A8" s="201" t="s">
        <v>410</v>
      </c>
      <c r="B8" s="201"/>
      <c r="K8" s="192" t="n">
        <v>6</v>
      </c>
      <c r="L8" s="193" t="n">
        <f aca="false">L7-$B$6</f>
        <v>13</v>
      </c>
      <c r="M8" s="194" t="n">
        <v>14</v>
      </c>
      <c r="N8" s="189" t="n">
        <v>0</v>
      </c>
    </row>
    <row r="9" customFormat="false" ht="15" hidden="false" customHeight="false" outlineLevel="0" collapsed="false">
      <c r="A9" s="202" t="s">
        <v>560</v>
      </c>
      <c r="B9" s="230" t="n">
        <v>10</v>
      </c>
      <c r="K9" s="186" t="n">
        <v>7</v>
      </c>
      <c r="L9" s="187" t="n">
        <f aca="false">L8-$B$6</f>
        <v>10.4</v>
      </c>
      <c r="M9" s="188" t="n">
        <v>10</v>
      </c>
      <c r="N9" s="189" t="n">
        <v>0</v>
      </c>
    </row>
    <row r="10" customFormat="false" ht="15" hidden="false" customHeight="false" outlineLevel="0" collapsed="false">
      <c r="A10" s="204" t="s">
        <v>552</v>
      </c>
      <c r="B10" s="231" t="n">
        <f aca="false">6/8</f>
        <v>0.75</v>
      </c>
      <c r="K10" s="192" t="n">
        <v>8</v>
      </c>
      <c r="L10" s="193" t="n">
        <f aca="false">L9-$B$6</f>
        <v>7.8</v>
      </c>
      <c r="M10" s="194" t="n">
        <v>6.5</v>
      </c>
      <c r="N10" s="189" t="n">
        <v>0</v>
      </c>
    </row>
    <row r="11" customFormat="false" ht="13.5" hidden="false" customHeight="true" outlineLevel="0" collapsed="false">
      <c r="A11" s="204" t="s">
        <v>553</v>
      </c>
      <c r="B11" s="231" t="n">
        <f aca="false">3/8</f>
        <v>0.375</v>
      </c>
      <c r="K11" s="186" t="n">
        <v>9</v>
      </c>
      <c r="L11" s="187" t="n">
        <f aca="false">L10-$B$6</f>
        <v>5.2</v>
      </c>
      <c r="M11" s="188" t="n">
        <v>2.5</v>
      </c>
      <c r="N11" s="189" t="n">
        <v>0</v>
      </c>
    </row>
    <row r="12" customFormat="false" ht="15.5" hidden="false" customHeight="false" outlineLevel="0" collapsed="false">
      <c r="A12" s="232" t="s">
        <v>554</v>
      </c>
      <c r="B12" s="231" t="n">
        <f aca="false">3/8</f>
        <v>0.375</v>
      </c>
      <c r="K12" s="206" t="n">
        <v>10</v>
      </c>
      <c r="L12" s="207" t="n">
        <v>0</v>
      </c>
      <c r="M12" s="208" t="n">
        <v>0</v>
      </c>
      <c r="N12" s="209" t="n">
        <v>0</v>
      </c>
    </row>
    <row r="13" customFormat="false" ht="15" hidden="false" customHeight="false" outlineLevel="0" collapsed="false">
      <c r="A13" s="210" t="s">
        <v>555</v>
      </c>
      <c r="B13" s="233" t="n">
        <v>0</v>
      </c>
      <c r="K13" s="199"/>
      <c r="L13" s="199"/>
      <c r="M13" s="199"/>
      <c r="N13" s="199"/>
    </row>
    <row r="14" customFormat="false" ht="15" hidden="false" customHeight="true" outlineLevel="0" collapsed="false">
      <c r="A14" s="212" t="s">
        <v>556</v>
      </c>
      <c r="B14" s="234" t="n">
        <f aca="false">B9-B10-B11-B12-B13</f>
        <v>8.5</v>
      </c>
      <c r="O14" s="215"/>
      <c r="P14" s="215"/>
      <c r="Q14" s="215"/>
      <c r="R14" s="215"/>
    </row>
    <row r="15" customFormat="false" ht="19.5" hidden="false" customHeight="true" outlineLevel="0" collapsed="false">
      <c r="K15" s="214" t="s">
        <v>557</v>
      </c>
      <c r="L15" s="214"/>
      <c r="M15" s="214"/>
      <c r="N15" s="214"/>
      <c r="O15" s="215"/>
    </row>
    <row r="16" customFormat="false" ht="67.5" hidden="false" customHeight="true" outlineLevel="0" collapsed="false">
      <c r="K16" s="216" t="s">
        <v>561</v>
      </c>
      <c r="L16" s="216"/>
      <c r="M16" s="216"/>
      <c r="N16" s="216"/>
    </row>
    <row r="18" customFormat="false" ht="15" hidden="false" customHeight="false" outlineLevel="0" collapsed="false">
      <c r="K18" s="16"/>
      <c r="L18" s="16"/>
      <c r="M18" s="16"/>
      <c r="N18" s="16"/>
    </row>
    <row r="19" customFormat="false" ht="15" hidden="false" customHeight="false" outlineLevel="0" collapsed="false">
      <c r="K19" s="16"/>
      <c r="L19" s="16"/>
      <c r="M19" s="16"/>
      <c r="N19" s="16"/>
    </row>
  </sheetData>
  <mergeCells count="7">
    <mergeCell ref="A1:B1"/>
    <mergeCell ref="K1:N1"/>
    <mergeCell ref="A8:B8"/>
    <mergeCell ref="K15:N15"/>
    <mergeCell ref="K16:N16"/>
    <mergeCell ref="K18:N18"/>
    <mergeCell ref="K19:N19"/>
  </mergeCells>
  <printOptions headings="false" gridLines="false" gridLinesSet="true" horizontalCentered="false" verticalCentered="false"/>
  <pageMargins left="0.7" right="0.7" top="0.75" bottom="0.75"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
  <sheetViews>
    <sheetView showFormulas="false" showGridLines="false" showRowColHeaders="true" showZeros="true" rightToLeft="false" tabSelected="false" showOutlineSymbols="true" defaultGridColor="true" view="pageBreakPreview" topLeftCell="A1" colorId="64" zoomScale="85" zoomScaleNormal="75" zoomScalePageLayoutView="8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8" width="27.86"/>
    <col collapsed="false" customWidth="true" hidden="false" outlineLevel="0" max="2" min="2" style="18" width="14.42"/>
    <col collapsed="false" customWidth="true" hidden="false" outlineLevel="0" max="3" min="3" style="18" width="15.29"/>
    <col collapsed="false" customWidth="true" hidden="false" outlineLevel="0" max="4" min="4" style="18" width="13.57"/>
    <col collapsed="false" customWidth="true" hidden="false" outlineLevel="0" max="5" min="5" style="18" width="14.29"/>
    <col collapsed="false" customWidth="true" hidden="false" outlineLevel="0" max="10" min="10" style="18" width="10.42"/>
    <col collapsed="false" customWidth="true" hidden="false" outlineLevel="0" max="11" min="11" style="18" width="4.71"/>
    <col collapsed="false" customWidth="true" hidden="false" outlineLevel="0" max="12" min="12" style="18" width="12.71"/>
    <col collapsed="false" customWidth="true" hidden="false" outlineLevel="0" max="13" min="13" style="18" width="10.42"/>
    <col collapsed="false" customWidth="true" hidden="false" outlineLevel="0" max="14" min="14" style="18" width="8.15"/>
  </cols>
  <sheetData>
    <row r="1" customFormat="false" ht="15" hidden="false" customHeight="true" outlineLevel="0" collapsed="false">
      <c r="A1" s="235" t="s">
        <v>540</v>
      </c>
      <c r="B1" s="235"/>
      <c r="K1" s="219" t="s">
        <v>541</v>
      </c>
      <c r="L1" s="219"/>
      <c r="M1" s="219"/>
      <c r="N1" s="219"/>
    </row>
    <row r="2" customFormat="false" ht="35.25" hidden="false" customHeight="true" outlineLevel="0" collapsed="false">
      <c r="A2" s="236" t="s">
        <v>542</v>
      </c>
      <c r="B2" s="237" t="n">
        <v>46111</v>
      </c>
      <c r="K2" s="181" t="s">
        <v>543</v>
      </c>
      <c r="L2" s="182" t="s">
        <v>544</v>
      </c>
      <c r="M2" s="182" t="s">
        <v>545</v>
      </c>
      <c r="N2" s="183" t="s">
        <v>546</v>
      </c>
    </row>
    <row r="3" customFormat="false" ht="15" hidden="false" customHeight="false" outlineLevel="0" collapsed="false">
      <c r="A3" s="184" t="s">
        <v>547</v>
      </c>
      <c r="B3" s="237" t="n">
        <v>46122</v>
      </c>
      <c r="K3" s="186" t="n">
        <v>1</v>
      </c>
      <c r="L3" s="187" t="n">
        <f aca="false">B5</f>
        <v>21</v>
      </c>
      <c r="M3" s="188" t="n">
        <f aca="false">B5-N3</f>
        <v>21</v>
      </c>
      <c r="N3" s="189" t="n">
        <v>0</v>
      </c>
    </row>
    <row r="4" customFormat="false" ht="29" hidden="false" customHeight="false" outlineLevel="0" collapsed="false">
      <c r="A4" s="190" t="s">
        <v>548</v>
      </c>
      <c r="B4" s="191" t="n">
        <v>10</v>
      </c>
      <c r="K4" s="192" t="n">
        <v>2</v>
      </c>
      <c r="L4" s="193" t="n">
        <f aca="false">L3-$B$6</f>
        <v>18.9</v>
      </c>
      <c r="M4" s="194" t="n">
        <v>19</v>
      </c>
      <c r="N4" s="189" t="n">
        <v>0</v>
      </c>
    </row>
    <row r="5" customFormat="false" ht="15" hidden="false" customHeight="false" outlineLevel="0" collapsed="false">
      <c r="A5" s="195" t="s">
        <v>549</v>
      </c>
      <c r="B5" s="196" t="n">
        <v>21</v>
      </c>
      <c r="K5" s="186" t="n">
        <v>3</v>
      </c>
      <c r="L5" s="187" t="n">
        <f aca="false">L4-$B$6</f>
        <v>16.8</v>
      </c>
      <c r="M5" s="188" t="n">
        <v>16.5</v>
      </c>
      <c r="N5" s="189" t="n">
        <v>0</v>
      </c>
    </row>
    <row r="6" customFormat="false" ht="15" hidden="false" customHeight="true" outlineLevel="0" collapsed="false">
      <c r="A6" s="197" t="s">
        <v>550</v>
      </c>
      <c r="B6" s="198" t="n">
        <f aca="false">B5/B4</f>
        <v>2.1</v>
      </c>
      <c r="K6" s="192" t="n">
        <v>4</v>
      </c>
      <c r="L6" s="193" t="n">
        <v>15.5</v>
      </c>
      <c r="M6" s="194" t="n">
        <v>15.5</v>
      </c>
      <c r="N6" s="189" t="n">
        <v>0</v>
      </c>
    </row>
    <row r="7" customFormat="false" ht="15" hidden="false" customHeight="false" outlineLevel="0" collapsed="false">
      <c r="K7" s="186" t="n">
        <v>5</v>
      </c>
      <c r="L7" s="187" t="n">
        <f aca="false">L6-$B$6</f>
        <v>13.4</v>
      </c>
      <c r="M7" s="188" t="n">
        <v>14.5</v>
      </c>
      <c r="N7" s="189" t="n">
        <v>0</v>
      </c>
    </row>
    <row r="8" customFormat="false" ht="15" hidden="false" customHeight="false" outlineLevel="0" collapsed="false">
      <c r="A8" s="201" t="s">
        <v>411</v>
      </c>
      <c r="B8" s="201"/>
      <c r="K8" s="192" t="n">
        <v>6</v>
      </c>
      <c r="L8" s="193" t="n">
        <f aca="false">L7-$B$6</f>
        <v>11.3</v>
      </c>
      <c r="M8" s="194" t="n">
        <v>11</v>
      </c>
      <c r="N8" s="189" t="n">
        <v>0</v>
      </c>
    </row>
    <row r="9" customFormat="false" ht="15" hidden="false" customHeight="false" outlineLevel="0" collapsed="false">
      <c r="A9" s="238" t="s">
        <v>560</v>
      </c>
      <c r="B9" s="239" t="n">
        <v>10</v>
      </c>
      <c r="K9" s="186" t="n">
        <v>7</v>
      </c>
      <c r="L9" s="187" t="n">
        <f aca="false">L8-$B$6</f>
        <v>9.2</v>
      </c>
      <c r="M9" s="188" t="n">
        <v>8</v>
      </c>
      <c r="N9" s="189" t="n">
        <v>0</v>
      </c>
    </row>
    <row r="10" customFormat="false" ht="15" hidden="false" customHeight="false" outlineLevel="0" collapsed="false">
      <c r="A10" s="240" t="s">
        <v>552</v>
      </c>
      <c r="B10" s="241" t="n">
        <f aca="false">6/8</f>
        <v>0.75</v>
      </c>
      <c r="K10" s="192" t="n">
        <v>8</v>
      </c>
      <c r="L10" s="193" t="n">
        <f aca="false">L9-$B$6</f>
        <v>7.1</v>
      </c>
      <c r="M10" s="194" t="n">
        <v>5</v>
      </c>
      <c r="N10" s="189" t="n">
        <v>0</v>
      </c>
    </row>
    <row r="11" customFormat="false" ht="15" hidden="false" customHeight="false" outlineLevel="0" collapsed="false">
      <c r="A11" s="240" t="s">
        <v>553</v>
      </c>
      <c r="B11" s="241" t="n">
        <f aca="false">3/8</f>
        <v>0.375</v>
      </c>
      <c r="K11" s="186" t="n">
        <v>9</v>
      </c>
      <c r="L11" s="187" t="n">
        <f aca="false">L10-$B$6</f>
        <v>5</v>
      </c>
      <c r="M11" s="188" t="n">
        <v>2</v>
      </c>
      <c r="N11" s="189" t="n">
        <v>0</v>
      </c>
    </row>
    <row r="12" customFormat="false" ht="15" hidden="false" customHeight="false" outlineLevel="0" collapsed="false">
      <c r="A12" s="240" t="s">
        <v>554</v>
      </c>
      <c r="B12" s="241" t="n">
        <f aca="false">3/8</f>
        <v>0.375</v>
      </c>
      <c r="K12" s="206" t="n">
        <v>10</v>
      </c>
      <c r="L12" s="207" t="n">
        <v>0</v>
      </c>
      <c r="M12" s="208" t="n">
        <v>0</v>
      </c>
      <c r="N12" s="209" t="n">
        <v>0</v>
      </c>
    </row>
    <row r="13" customFormat="false" ht="15" hidden="false" customHeight="false" outlineLevel="0" collapsed="false">
      <c r="A13" s="238" t="s">
        <v>555</v>
      </c>
      <c r="B13" s="238" t="n">
        <v>0</v>
      </c>
      <c r="K13" s="199"/>
      <c r="L13" s="199"/>
      <c r="M13" s="199"/>
      <c r="N13" s="199"/>
    </row>
    <row r="14" customFormat="false" ht="33.75" hidden="false" customHeight="true" outlineLevel="0" collapsed="false">
      <c r="A14" s="240" t="s">
        <v>556</v>
      </c>
      <c r="B14" s="242" t="n">
        <f aca="false">B9-B10-B11-B12-B13</f>
        <v>8.5</v>
      </c>
      <c r="K14" s="214" t="s">
        <v>557</v>
      </c>
      <c r="L14" s="214"/>
      <c r="M14" s="214"/>
      <c r="N14" s="214"/>
      <c r="O14" s="215"/>
      <c r="P14" s="215"/>
      <c r="Q14" s="215"/>
    </row>
    <row r="15" customFormat="false" ht="34.5" hidden="false" customHeight="true" outlineLevel="0" collapsed="false">
      <c r="K15" s="216" t="s">
        <v>562</v>
      </c>
      <c r="L15" s="216"/>
      <c r="M15" s="216"/>
      <c r="N15" s="216"/>
    </row>
    <row r="17" customFormat="false" ht="15" hidden="false" customHeight="false" outlineLevel="0" collapsed="false">
      <c r="K17" s="16"/>
      <c r="L17" s="16"/>
      <c r="M17" s="16"/>
      <c r="N17" s="16"/>
    </row>
  </sheetData>
  <mergeCells count="6">
    <mergeCell ref="A1:B1"/>
    <mergeCell ref="K1:N1"/>
    <mergeCell ref="A8:B8"/>
    <mergeCell ref="K14:N14"/>
    <mergeCell ref="K15:N15"/>
    <mergeCell ref="K17:N17"/>
  </mergeCells>
  <printOptions headings="false" gridLines="false" gridLinesSet="true" horizontalCentered="false" verticalCentered="false"/>
  <pageMargins left="0.7" right="0.7" top="0.75" bottom="0.75" header="0.511811023622047" footer="0.511811023622047"/>
  <pageSetup paperSize="1" scale="68"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
  <sheetViews>
    <sheetView showFormulas="false" showGridLines="false" showRowColHeaders="true" showZeros="true" rightToLeft="false" tabSelected="false" showOutlineSymbols="true" defaultGridColor="true" view="pageBreakPreview" topLeftCell="A1" colorId="64" zoomScale="85" zoomScaleNormal="75" zoomScalePageLayoutView="85" workbookViewId="0">
      <selection pane="topLeft" activeCell="M12" activeCellId="0" sqref="M12"/>
    </sheetView>
  </sheetViews>
  <sheetFormatPr defaultColWidth="11.42578125" defaultRowHeight="15" customHeight="false" zeroHeight="false" outlineLevelRow="0" outlineLevelCol="0"/>
  <cols>
    <col collapsed="false" customWidth="true" hidden="false" outlineLevel="0" max="1" min="1" style="18" width="27.42"/>
    <col collapsed="false" customWidth="true" hidden="false" outlineLevel="0" max="2" min="2" style="18" width="14.42"/>
    <col collapsed="false" customWidth="true" hidden="false" outlineLevel="0" max="3" min="3" style="18" width="15.29"/>
    <col collapsed="false" customWidth="true" hidden="false" outlineLevel="0" max="4" min="4" style="18" width="13.57"/>
    <col collapsed="false" customWidth="true" hidden="false" outlineLevel="0" max="5" min="5" style="18" width="14.29"/>
    <col collapsed="false" customWidth="true" hidden="false" outlineLevel="0" max="11" min="11" style="18" width="4.71"/>
    <col collapsed="false" customWidth="true" hidden="false" outlineLevel="0" max="12" min="12" style="18" width="11.29"/>
    <col collapsed="false" customWidth="true" hidden="false" outlineLevel="0" max="13" min="13" style="18" width="9.86"/>
    <col collapsed="false" customWidth="true" hidden="false" outlineLevel="0" max="14" min="14" style="18" width="8.15"/>
  </cols>
  <sheetData>
    <row r="1" customFormat="false" ht="15" hidden="false" customHeight="true" outlineLevel="0" collapsed="false">
      <c r="A1" s="235" t="s">
        <v>540</v>
      </c>
      <c r="B1" s="235"/>
      <c r="K1" s="219" t="s">
        <v>541</v>
      </c>
      <c r="L1" s="219"/>
      <c r="M1" s="219"/>
      <c r="N1" s="219"/>
    </row>
    <row r="2" customFormat="false" ht="35.25" hidden="false" customHeight="true" outlineLevel="0" collapsed="false">
      <c r="A2" s="236" t="s">
        <v>542</v>
      </c>
      <c r="B2" s="237" t="n">
        <v>46125</v>
      </c>
      <c r="K2" s="181" t="s">
        <v>543</v>
      </c>
      <c r="L2" s="182" t="s">
        <v>544</v>
      </c>
      <c r="M2" s="182" t="s">
        <v>545</v>
      </c>
      <c r="N2" s="183" t="s">
        <v>546</v>
      </c>
    </row>
    <row r="3" customFormat="false" ht="15" hidden="false" customHeight="false" outlineLevel="0" collapsed="false">
      <c r="A3" s="184" t="s">
        <v>547</v>
      </c>
      <c r="B3" s="237" t="n">
        <v>46136</v>
      </c>
      <c r="K3" s="186" t="n">
        <v>1</v>
      </c>
      <c r="L3" s="187" t="n">
        <f aca="false">B5</f>
        <v>23</v>
      </c>
      <c r="M3" s="188" t="n">
        <f aca="false">B5-N3</f>
        <v>23</v>
      </c>
      <c r="N3" s="189" t="n">
        <v>0</v>
      </c>
    </row>
    <row r="4" customFormat="false" ht="36" hidden="false" customHeight="true" outlineLevel="0" collapsed="false">
      <c r="A4" s="190" t="s">
        <v>548</v>
      </c>
      <c r="B4" s="191" t="n">
        <v>10</v>
      </c>
      <c r="K4" s="192" t="n">
        <v>2</v>
      </c>
      <c r="L4" s="193" t="n">
        <f aca="false">L3-$B$6</f>
        <v>20.7</v>
      </c>
      <c r="M4" s="194" t="n">
        <v>21.8</v>
      </c>
      <c r="N4" s="189" t="n">
        <v>0</v>
      </c>
    </row>
    <row r="5" customFormat="false" ht="15" hidden="false" customHeight="true" outlineLevel="0" collapsed="false">
      <c r="A5" s="195" t="s">
        <v>549</v>
      </c>
      <c r="B5" s="196" t="n">
        <v>23</v>
      </c>
      <c r="K5" s="186" t="n">
        <v>3</v>
      </c>
      <c r="L5" s="187" t="n">
        <f aca="false">L4-$B$6</f>
        <v>18.4</v>
      </c>
      <c r="M5" s="188" t="n">
        <v>19.6</v>
      </c>
      <c r="N5" s="189" t="n">
        <v>0</v>
      </c>
    </row>
    <row r="6" customFormat="false" ht="15" hidden="false" customHeight="false" outlineLevel="0" collapsed="false">
      <c r="A6" s="197" t="s">
        <v>550</v>
      </c>
      <c r="B6" s="198" t="n">
        <f aca="false">B5/B4</f>
        <v>2.3</v>
      </c>
      <c r="K6" s="192" t="n">
        <v>4</v>
      </c>
      <c r="L6" s="193" t="n">
        <f aca="false">L5-$B$6</f>
        <v>16.1</v>
      </c>
      <c r="M6" s="194" t="n">
        <v>17.4</v>
      </c>
      <c r="N6" s="189" t="n">
        <v>0</v>
      </c>
    </row>
    <row r="7" customFormat="false" ht="15" hidden="false" customHeight="false" outlineLevel="0" collapsed="false">
      <c r="K7" s="186" t="n">
        <v>5</v>
      </c>
      <c r="L7" s="187" t="n">
        <f aca="false">L6-$B$6</f>
        <v>13.8</v>
      </c>
      <c r="M7" s="188" t="n">
        <v>15.2</v>
      </c>
      <c r="N7" s="189" t="n">
        <v>0</v>
      </c>
    </row>
    <row r="8" customFormat="false" ht="15" hidden="false" customHeight="false" outlineLevel="0" collapsed="false">
      <c r="A8" s="201" t="s">
        <v>412</v>
      </c>
      <c r="B8" s="201"/>
      <c r="K8" s="192" t="n">
        <v>6</v>
      </c>
      <c r="L8" s="193" t="n">
        <f aca="false">L7-$B$6</f>
        <v>11.5</v>
      </c>
      <c r="M8" s="194" t="n">
        <v>13</v>
      </c>
      <c r="N8" s="189" t="n">
        <v>0</v>
      </c>
    </row>
    <row r="9" customFormat="false" ht="15" hidden="false" customHeight="false" outlineLevel="0" collapsed="false">
      <c r="A9" s="202" t="s">
        <v>560</v>
      </c>
      <c r="B9" s="230" t="n">
        <v>10</v>
      </c>
      <c r="K9" s="186" t="n">
        <v>7</v>
      </c>
      <c r="L9" s="187" t="n">
        <f aca="false">L8-$B$6</f>
        <v>9.2</v>
      </c>
      <c r="M9" s="188" t="n">
        <v>10.8</v>
      </c>
      <c r="N9" s="189" t="n">
        <v>0</v>
      </c>
    </row>
    <row r="10" customFormat="false" ht="15" hidden="false" customHeight="false" outlineLevel="0" collapsed="false">
      <c r="A10" s="204" t="s">
        <v>552</v>
      </c>
      <c r="B10" s="231" t="n">
        <f aca="false">6/8</f>
        <v>0.75</v>
      </c>
      <c r="K10" s="192" t="n">
        <v>8</v>
      </c>
      <c r="L10" s="193" t="n">
        <f aca="false">L9-$B$6</f>
        <v>6.9</v>
      </c>
      <c r="M10" s="194" t="n">
        <v>8.6</v>
      </c>
      <c r="N10" s="189" t="n">
        <v>0</v>
      </c>
    </row>
    <row r="11" customFormat="false" ht="15" hidden="false" customHeight="false" outlineLevel="0" collapsed="false">
      <c r="A11" s="204" t="s">
        <v>553</v>
      </c>
      <c r="B11" s="231" t="n">
        <f aca="false">3/8</f>
        <v>0.375</v>
      </c>
      <c r="K11" s="186" t="n">
        <v>9</v>
      </c>
      <c r="L11" s="187" t="n">
        <f aca="false">L10-$B$6</f>
        <v>4.6</v>
      </c>
      <c r="M11" s="188" t="n">
        <v>6.4</v>
      </c>
      <c r="N11" s="189" t="n">
        <v>0</v>
      </c>
    </row>
    <row r="12" customFormat="false" ht="15" hidden="false" customHeight="false" outlineLevel="0" collapsed="false">
      <c r="A12" s="204" t="s">
        <v>554</v>
      </c>
      <c r="B12" s="231" t="n">
        <f aca="false">3/8</f>
        <v>0.375</v>
      </c>
      <c r="K12" s="206" t="n">
        <v>10</v>
      </c>
      <c r="L12" s="207" t="n">
        <v>0</v>
      </c>
      <c r="M12" s="208" t="n">
        <v>0</v>
      </c>
      <c r="N12" s="209" t="n">
        <v>0</v>
      </c>
    </row>
    <row r="13" customFormat="false" ht="15" hidden="false" customHeight="false" outlineLevel="0" collapsed="false">
      <c r="A13" s="210" t="s">
        <v>555</v>
      </c>
      <c r="B13" s="233" t="n">
        <v>0</v>
      </c>
      <c r="K13" s="92"/>
      <c r="L13" s="92"/>
      <c r="M13" s="92"/>
      <c r="N13" s="92"/>
    </row>
    <row r="14" customFormat="false" ht="24.75" hidden="false" customHeight="true" outlineLevel="0" collapsed="false">
      <c r="A14" s="212" t="s">
        <v>556</v>
      </c>
      <c r="B14" s="234" t="n">
        <f aca="false">B9-B10-B11-B12-B13</f>
        <v>8.5</v>
      </c>
      <c r="K14" s="214" t="s">
        <v>557</v>
      </c>
      <c r="L14" s="214"/>
      <c r="M14" s="214"/>
      <c r="N14" s="214"/>
      <c r="O14" s="215"/>
    </row>
    <row r="15" customFormat="false" ht="65.25" hidden="false" customHeight="true" outlineLevel="0" collapsed="false">
      <c r="K15" s="216" t="s">
        <v>563</v>
      </c>
      <c r="L15" s="216"/>
      <c r="M15" s="216"/>
      <c r="N15" s="216"/>
      <c r="O15" s="215"/>
    </row>
    <row r="19" customFormat="false" ht="15" hidden="false" customHeight="false" outlineLevel="0" collapsed="false">
      <c r="K19" s="16"/>
      <c r="L19" s="16"/>
      <c r="M19" s="16"/>
      <c r="N19" s="16"/>
    </row>
    <row r="20" customFormat="false" ht="15" hidden="false" customHeight="false" outlineLevel="0" collapsed="false">
      <c r="K20" s="16"/>
      <c r="L20" s="16"/>
      <c r="M20" s="16"/>
      <c r="N20" s="16"/>
    </row>
  </sheetData>
  <mergeCells count="7">
    <mergeCell ref="A1:B1"/>
    <mergeCell ref="K1:N1"/>
    <mergeCell ref="A8:B8"/>
    <mergeCell ref="K14:N14"/>
    <mergeCell ref="K15:N15"/>
    <mergeCell ref="K19:N19"/>
    <mergeCell ref="K20:N20"/>
  </mergeCells>
  <printOptions headings="false" gridLines="false" gridLinesSet="true" horizontalCentered="false" verticalCentered="false"/>
  <pageMargins left="0.7" right="0.7" top="0.75" bottom="0.75"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6"/>
  <sheetViews>
    <sheetView showFormulas="false" showGridLines="false" showRowColHeaders="true" showZeros="true" rightToLeft="false" tabSelected="false" showOutlineSymbols="true" defaultGridColor="true" view="pageBreakPreview" topLeftCell="A1" colorId="64" zoomScale="85" zoomScaleNormal="75" zoomScalePageLayoutView="8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8" width="27.57"/>
    <col collapsed="false" customWidth="true" hidden="false" outlineLevel="0" max="2" min="2" style="18" width="14.42"/>
    <col collapsed="false" customWidth="true" hidden="false" outlineLevel="0" max="3" min="3" style="18" width="15.29"/>
    <col collapsed="false" customWidth="true" hidden="false" outlineLevel="0" max="4" min="4" style="18" width="13.57"/>
    <col collapsed="false" customWidth="true" hidden="false" outlineLevel="0" max="5" min="5" style="18" width="14.29"/>
    <col collapsed="false" customWidth="true" hidden="false" outlineLevel="0" max="11" min="11" style="18" width="4.71"/>
    <col collapsed="false" customWidth="true" hidden="false" outlineLevel="0" max="12" min="12" style="18" width="11.29"/>
    <col collapsed="false" customWidth="true" hidden="false" outlineLevel="0" max="13" min="13" style="18" width="9.29"/>
    <col collapsed="false" customWidth="true" hidden="false" outlineLevel="0" max="14" min="14" style="18" width="8.15"/>
  </cols>
  <sheetData>
    <row r="1" customFormat="false" ht="15" hidden="false" customHeight="true" outlineLevel="0" collapsed="false">
      <c r="A1" s="218" t="s">
        <v>540</v>
      </c>
      <c r="B1" s="218"/>
      <c r="K1" s="243" t="s">
        <v>541</v>
      </c>
      <c r="L1" s="243"/>
      <c r="M1" s="243"/>
      <c r="N1" s="243"/>
    </row>
    <row r="2" customFormat="false" ht="29" hidden="false" customHeight="false" outlineLevel="0" collapsed="false">
      <c r="A2" s="179" t="s">
        <v>542</v>
      </c>
      <c r="B2" s="244" t="n">
        <v>46139</v>
      </c>
      <c r="K2" s="245" t="s">
        <v>543</v>
      </c>
      <c r="L2" s="246" t="s">
        <v>544</v>
      </c>
      <c r="M2" s="246" t="s">
        <v>545</v>
      </c>
      <c r="N2" s="247" t="s">
        <v>546</v>
      </c>
    </row>
    <row r="3" customFormat="false" ht="15" hidden="false" customHeight="false" outlineLevel="0" collapsed="false">
      <c r="A3" s="184" t="s">
        <v>547</v>
      </c>
      <c r="B3" s="237" t="n">
        <v>46150</v>
      </c>
      <c r="K3" s="248" t="n">
        <v>1</v>
      </c>
      <c r="L3" s="249" t="n">
        <f aca="false">B5</f>
        <v>20</v>
      </c>
      <c r="M3" s="15" t="n">
        <f aca="false">B5-N3</f>
        <v>20</v>
      </c>
      <c r="N3" s="250" t="n">
        <v>0</v>
      </c>
    </row>
    <row r="4" customFormat="false" ht="29" hidden="false" customHeight="false" outlineLevel="0" collapsed="false">
      <c r="A4" s="190" t="s">
        <v>548</v>
      </c>
      <c r="B4" s="191" t="n">
        <v>10</v>
      </c>
      <c r="K4" s="251" t="n">
        <v>2</v>
      </c>
      <c r="L4" s="252" t="n">
        <f aca="false">L3-$B$6</f>
        <v>18</v>
      </c>
      <c r="M4" s="253" t="n">
        <v>18</v>
      </c>
      <c r="N4" s="250" t="n">
        <v>0</v>
      </c>
    </row>
    <row r="5" customFormat="false" ht="15" hidden="false" customHeight="false" outlineLevel="0" collapsed="false">
      <c r="A5" s="195" t="s">
        <v>549</v>
      </c>
      <c r="B5" s="196" t="n">
        <v>20</v>
      </c>
      <c r="K5" s="248" t="n">
        <v>3</v>
      </c>
      <c r="L5" s="249" t="n">
        <f aca="false">L4-$B$6</f>
        <v>16</v>
      </c>
      <c r="M5" s="15" t="n">
        <v>15.5</v>
      </c>
      <c r="N5" s="250" t="n">
        <v>0</v>
      </c>
    </row>
    <row r="6" customFormat="false" ht="15" hidden="false" customHeight="true" outlineLevel="0" collapsed="false">
      <c r="A6" s="197" t="s">
        <v>550</v>
      </c>
      <c r="B6" s="198" t="n">
        <f aca="false">B5/B4</f>
        <v>2</v>
      </c>
      <c r="K6" s="251" t="n">
        <v>4</v>
      </c>
      <c r="L6" s="252" t="n">
        <f aca="false">L5-$B$6</f>
        <v>14</v>
      </c>
      <c r="M6" s="253" t="n">
        <v>15</v>
      </c>
      <c r="N6" s="250" t="n">
        <v>0</v>
      </c>
    </row>
    <row r="7" customFormat="false" ht="15" hidden="false" customHeight="true" outlineLevel="0" collapsed="false">
      <c r="A7" s="92"/>
      <c r="B7" s="92"/>
      <c r="K7" s="248" t="n">
        <v>5</v>
      </c>
      <c r="L7" s="249" t="n">
        <f aca="false">L6-$B$6</f>
        <v>12</v>
      </c>
      <c r="M7" s="15" t="n">
        <v>14.5</v>
      </c>
      <c r="N7" s="250" t="n">
        <v>0</v>
      </c>
    </row>
    <row r="8" customFormat="false" ht="15" hidden="false" customHeight="true" outlineLevel="0" collapsed="false">
      <c r="A8" s="201" t="s">
        <v>413</v>
      </c>
      <c r="B8" s="201"/>
      <c r="K8" s="251" t="n">
        <v>6</v>
      </c>
      <c r="L8" s="252" t="n">
        <f aca="false">L7-$B$6</f>
        <v>10</v>
      </c>
      <c r="M8" s="253" t="n">
        <v>14</v>
      </c>
      <c r="N8" s="250" t="n">
        <v>0</v>
      </c>
    </row>
    <row r="9" customFormat="false" ht="15" hidden="false" customHeight="false" outlineLevel="0" collapsed="false">
      <c r="A9" s="202" t="s">
        <v>560</v>
      </c>
      <c r="B9" s="230" t="n">
        <v>10</v>
      </c>
      <c r="K9" s="248" t="n">
        <v>7</v>
      </c>
      <c r="L9" s="249" t="n">
        <f aca="false">L8-$B$6</f>
        <v>8</v>
      </c>
      <c r="M9" s="15" t="n">
        <v>10</v>
      </c>
      <c r="N9" s="250" t="n">
        <v>0</v>
      </c>
    </row>
    <row r="10" customFormat="false" ht="15" hidden="false" customHeight="false" outlineLevel="0" collapsed="false">
      <c r="A10" s="204" t="s">
        <v>552</v>
      </c>
      <c r="B10" s="231" t="n">
        <f aca="false">6/8</f>
        <v>0.75</v>
      </c>
      <c r="K10" s="251" t="n">
        <v>8</v>
      </c>
      <c r="L10" s="252" t="n">
        <f aca="false">L9-$B$6</f>
        <v>6</v>
      </c>
      <c r="M10" s="253" t="n">
        <v>6</v>
      </c>
      <c r="N10" s="250" t="n">
        <v>0</v>
      </c>
    </row>
    <row r="11" customFormat="false" ht="15" hidden="false" customHeight="false" outlineLevel="0" collapsed="false">
      <c r="A11" s="204" t="s">
        <v>553</v>
      </c>
      <c r="B11" s="231" t="n">
        <f aca="false">3/8</f>
        <v>0.375</v>
      </c>
      <c r="K11" s="248" t="n">
        <v>9</v>
      </c>
      <c r="L11" s="249" t="n">
        <f aca="false">L10-$B$6</f>
        <v>4</v>
      </c>
      <c r="M11" s="15" t="n">
        <v>2</v>
      </c>
      <c r="N11" s="250" t="n">
        <v>0</v>
      </c>
    </row>
    <row r="12" customFormat="false" ht="15" hidden="false" customHeight="false" outlineLevel="0" collapsed="false">
      <c r="A12" s="204" t="s">
        <v>554</v>
      </c>
      <c r="B12" s="231" t="n">
        <f aca="false">3/8</f>
        <v>0.375</v>
      </c>
      <c r="K12" s="254" t="n">
        <v>10</v>
      </c>
      <c r="L12" s="255" t="n">
        <v>0</v>
      </c>
      <c r="M12" s="256" t="n">
        <v>0</v>
      </c>
      <c r="N12" s="257" t="n">
        <v>0</v>
      </c>
    </row>
    <row r="13" customFormat="false" ht="15" hidden="false" customHeight="false" outlineLevel="0" collapsed="false">
      <c r="A13" s="210" t="s">
        <v>555</v>
      </c>
      <c r="B13" s="233" t="n">
        <v>1</v>
      </c>
    </row>
    <row r="14" customFormat="false" ht="27" hidden="false" customHeight="true" outlineLevel="0" collapsed="false">
      <c r="A14" s="212" t="s">
        <v>556</v>
      </c>
      <c r="B14" s="234" t="n">
        <f aca="false">B9-B10-B11-B12-B13</f>
        <v>7.5</v>
      </c>
      <c r="K14" s="258" t="s">
        <v>557</v>
      </c>
      <c r="L14" s="258"/>
      <c r="M14" s="258"/>
      <c r="N14" s="258"/>
    </row>
    <row r="15" customFormat="false" ht="96" hidden="false" customHeight="true" outlineLevel="0" collapsed="false">
      <c r="A15" s="92"/>
      <c r="B15" s="92"/>
      <c r="K15" s="216" t="s">
        <v>564</v>
      </c>
      <c r="L15" s="216"/>
      <c r="M15" s="216"/>
      <c r="N15" s="216"/>
    </row>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row r="24" customFormat="false" ht="15" hidden="false" customHeight="false" outlineLevel="0" collapsed="false">
      <c r="H24" s="259"/>
      <c r="I24" s="259"/>
      <c r="J24" s="259"/>
      <c r="K24" s="259"/>
    </row>
    <row r="25" customFormat="false" ht="15" hidden="false" customHeight="false" outlineLevel="0" collapsed="false">
      <c r="H25" s="259"/>
      <c r="I25" s="259"/>
      <c r="J25" s="259"/>
      <c r="K25" s="259"/>
    </row>
    <row r="26" customFormat="false" ht="15" hidden="false" customHeight="false" outlineLevel="0" collapsed="false">
      <c r="H26" s="259"/>
      <c r="I26" s="259"/>
      <c r="J26" s="259"/>
      <c r="K26" s="259"/>
    </row>
  </sheetData>
  <mergeCells count="8">
    <mergeCell ref="A1:B1"/>
    <mergeCell ref="K1:N1"/>
    <mergeCell ref="A8:B8"/>
    <mergeCell ref="K14:N14"/>
    <mergeCell ref="K15:N15"/>
    <mergeCell ref="H24:K24"/>
    <mergeCell ref="H25:K25"/>
    <mergeCell ref="H26:K26"/>
  </mergeCells>
  <printOptions headings="false" gridLines="false" gridLinesSet="true" horizontalCentered="false" verticalCentered="false"/>
  <pageMargins left="0.7" right="0.7" top="0.75" bottom="0.75" header="0.511811023622047" footer="0.511811023622047"/>
  <pageSetup paperSize="1" scale="68"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false" showRowColHeaders="true" showZeros="true" rightToLeft="false" tabSelected="false" showOutlineSymbols="true" defaultGridColor="true" view="pageBreakPreview" topLeftCell="B1" colorId="64" zoomScale="85" zoomScaleNormal="75" zoomScalePageLayoutView="8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8" width="27.29"/>
    <col collapsed="false" customWidth="true" hidden="false" outlineLevel="0" max="2" min="2" style="18" width="14.42"/>
    <col collapsed="false" customWidth="true" hidden="false" outlineLevel="0" max="3" min="3" style="18" width="15.29"/>
    <col collapsed="false" customWidth="true" hidden="false" outlineLevel="0" max="4" min="4" style="18" width="13.57"/>
    <col collapsed="false" customWidth="true" hidden="false" outlineLevel="0" max="5" min="5" style="18" width="14.29"/>
    <col collapsed="false" customWidth="true" hidden="false" outlineLevel="0" max="11" min="11" style="18" width="4.71"/>
    <col collapsed="false" customWidth="true" hidden="false" outlineLevel="0" max="12" min="12" style="18" width="11.29"/>
    <col collapsed="false" customWidth="true" hidden="false" outlineLevel="0" max="13" min="13" style="18" width="9.71"/>
    <col collapsed="false" customWidth="true" hidden="false" outlineLevel="0" max="14" min="14" style="18" width="8.15"/>
  </cols>
  <sheetData>
    <row r="1" customFormat="false" ht="15" hidden="false" customHeight="true" outlineLevel="0" collapsed="false">
      <c r="A1" s="235" t="s">
        <v>540</v>
      </c>
      <c r="B1" s="235"/>
      <c r="K1" s="219" t="s">
        <v>541</v>
      </c>
      <c r="L1" s="219"/>
      <c r="M1" s="219"/>
      <c r="N1" s="219"/>
    </row>
    <row r="2" customFormat="false" ht="29" hidden="false" customHeight="false" outlineLevel="0" collapsed="false">
      <c r="A2" s="179" t="s">
        <v>542</v>
      </c>
      <c r="B2" s="244" t="n">
        <v>46153</v>
      </c>
      <c r="K2" s="181" t="s">
        <v>543</v>
      </c>
      <c r="L2" s="182" t="s">
        <v>544</v>
      </c>
      <c r="M2" s="182" t="s">
        <v>545</v>
      </c>
      <c r="N2" s="183" t="s">
        <v>546</v>
      </c>
    </row>
    <row r="3" customFormat="false" ht="15" hidden="false" customHeight="false" outlineLevel="0" collapsed="false">
      <c r="A3" s="184" t="s">
        <v>547</v>
      </c>
      <c r="B3" s="237" t="n">
        <v>46164</v>
      </c>
      <c r="K3" s="260" t="n">
        <v>1</v>
      </c>
      <c r="L3" s="261" t="n">
        <f aca="false">B5</f>
        <v>18</v>
      </c>
      <c r="M3" s="262" t="n">
        <f aca="false">B5-N3</f>
        <v>18</v>
      </c>
      <c r="N3" s="263" t="n">
        <v>0</v>
      </c>
    </row>
    <row r="4" customFormat="false" ht="29" hidden="false" customHeight="false" outlineLevel="0" collapsed="false">
      <c r="A4" s="190" t="s">
        <v>548</v>
      </c>
      <c r="B4" s="191" t="n">
        <v>10</v>
      </c>
      <c r="K4" s="264" t="n">
        <v>2</v>
      </c>
      <c r="L4" s="265" t="n">
        <f aca="false">L3-$B$6</f>
        <v>16.2</v>
      </c>
      <c r="M4" s="266" t="n">
        <v>16.5</v>
      </c>
      <c r="N4" s="263" t="n">
        <v>0</v>
      </c>
    </row>
    <row r="5" customFormat="false" ht="15" hidden="false" customHeight="false" outlineLevel="0" collapsed="false">
      <c r="A5" s="195" t="s">
        <v>549</v>
      </c>
      <c r="B5" s="196" t="n">
        <v>18</v>
      </c>
      <c r="K5" s="260" t="n">
        <v>3</v>
      </c>
      <c r="L5" s="261" t="n">
        <f aca="false">L4-$B$6</f>
        <v>14.4</v>
      </c>
      <c r="M5" s="262" t="n">
        <v>14</v>
      </c>
      <c r="N5" s="263" t="n">
        <v>0</v>
      </c>
    </row>
    <row r="6" customFormat="false" ht="15" hidden="false" customHeight="false" outlineLevel="0" collapsed="false">
      <c r="A6" s="197" t="s">
        <v>550</v>
      </c>
      <c r="B6" s="198" t="n">
        <f aca="false">B5/B4</f>
        <v>1.8</v>
      </c>
      <c r="K6" s="264" t="n">
        <v>4</v>
      </c>
      <c r="L6" s="265" t="n">
        <f aca="false">L5-$B$6</f>
        <v>12.6</v>
      </c>
      <c r="M6" s="266" t="n">
        <v>12</v>
      </c>
      <c r="N6" s="263" t="n">
        <v>0</v>
      </c>
    </row>
    <row r="7" customFormat="false" ht="15" hidden="false" customHeight="false" outlineLevel="0" collapsed="false">
      <c r="K7" s="260" t="n">
        <v>5</v>
      </c>
      <c r="L7" s="261" t="n">
        <f aca="false">L6-$B$6</f>
        <v>10.8</v>
      </c>
      <c r="M7" s="262" t="n">
        <v>10</v>
      </c>
      <c r="N7" s="263" t="n">
        <v>0</v>
      </c>
    </row>
    <row r="8" customFormat="false" ht="15" hidden="false" customHeight="false" outlineLevel="0" collapsed="false">
      <c r="A8" s="201" t="s">
        <v>414</v>
      </c>
      <c r="B8" s="201"/>
      <c r="K8" s="264" t="n">
        <v>6</v>
      </c>
      <c r="L8" s="265" t="n">
        <f aca="false">L7-$B$6</f>
        <v>9</v>
      </c>
      <c r="M8" s="266" t="n">
        <v>8</v>
      </c>
      <c r="N8" s="263" t="n">
        <v>0</v>
      </c>
    </row>
    <row r="9" customFormat="false" ht="15" hidden="false" customHeight="false" outlineLevel="0" collapsed="false">
      <c r="A9" s="202" t="s">
        <v>560</v>
      </c>
      <c r="B9" s="230" t="n">
        <v>10</v>
      </c>
      <c r="K9" s="260" t="n">
        <v>7</v>
      </c>
      <c r="L9" s="261" t="n">
        <f aca="false">L8-$B$6</f>
        <v>7.2</v>
      </c>
      <c r="M9" s="262" t="n">
        <v>6</v>
      </c>
      <c r="N9" s="263" t="n">
        <v>0</v>
      </c>
    </row>
    <row r="10" customFormat="false" ht="15" hidden="false" customHeight="true" outlineLevel="0" collapsed="false">
      <c r="A10" s="204" t="s">
        <v>552</v>
      </c>
      <c r="B10" s="231" t="n">
        <f aca="false">6/8</f>
        <v>0.75</v>
      </c>
      <c r="K10" s="264" t="n">
        <v>8</v>
      </c>
      <c r="L10" s="265" t="n">
        <f aca="false">L9-$B$6</f>
        <v>5.4</v>
      </c>
      <c r="M10" s="266" t="n">
        <v>3.5</v>
      </c>
      <c r="N10" s="263" t="n">
        <v>0</v>
      </c>
    </row>
    <row r="11" customFormat="false" ht="15" hidden="false" customHeight="true" outlineLevel="0" collapsed="false">
      <c r="A11" s="204" t="s">
        <v>553</v>
      </c>
      <c r="B11" s="231" t="n">
        <f aca="false">3/8</f>
        <v>0.375</v>
      </c>
      <c r="K11" s="260" t="n">
        <v>9</v>
      </c>
      <c r="L11" s="261" t="n">
        <f aca="false">L10-$B$6</f>
        <v>3.6</v>
      </c>
      <c r="M11" s="262" t="n">
        <v>5</v>
      </c>
      <c r="N11" s="263" t="n">
        <v>0</v>
      </c>
    </row>
    <row r="12" customFormat="false" ht="15" hidden="false" customHeight="true" outlineLevel="0" collapsed="false">
      <c r="A12" s="204" t="s">
        <v>554</v>
      </c>
      <c r="B12" s="231" t="n">
        <f aca="false">3/8</f>
        <v>0.375</v>
      </c>
      <c r="K12" s="267" t="n">
        <v>10</v>
      </c>
      <c r="L12" s="268" t="n">
        <f aca="false">L11-$B$6</f>
        <v>1.8</v>
      </c>
      <c r="M12" s="269" t="n">
        <v>5</v>
      </c>
      <c r="N12" s="270" t="n">
        <v>0</v>
      </c>
    </row>
    <row r="13" customFormat="false" ht="15" hidden="false" customHeight="false" outlineLevel="0" collapsed="false">
      <c r="A13" s="210" t="s">
        <v>555</v>
      </c>
      <c r="B13" s="233" t="n">
        <v>0</v>
      </c>
      <c r="K13" s="92"/>
      <c r="L13" s="92"/>
      <c r="M13" s="92"/>
      <c r="N13" s="92"/>
    </row>
    <row r="14" customFormat="false" ht="15" hidden="false" customHeight="false" outlineLevel="0" collapsed="false">
      <c r="A14" s="212" t="s">
        <v>556</v>
      </c>
      <c r="B14" s="234" t="n">
        <f aca="false">B9-B10-B11-B12-B13</f>
        <v>8.5</v>
      </c>
      <c r="K14" s="258" t="s">
        <v>557</v>
      </c>
      <c r="L14" s="258"/>
      <c r="M14" s="258"/>
      <c r="N14" s="258"/>
    </row>
    <row r="15" customFormat="false" ht="96.75" hidden="false" customHeight="true" outlineLevel="0" collapsed="false">
      <c r="K15" s="216" t="s">
        <v>565</v>
      </c>
      <c r="L15" s="216"/>
      <c r="M15" s="216"/>
      <c r="N15" s="216"/>
      <c r="O15" s="215"/>
    </row>
    <row r="16" customFormat="false" ht="15" hidden="false" customHeight="true" outlineLevel="0" collapsed="false">
      <c r="O16" s="215"/>
    </row>
    <row r="17" customFormat="false" ht="27" hidden="false" customHeight="true" outlineLevel="0" collapsed="false">
      <c r="O17" s="215"/>
    </row>
    <row r="20" customFormat="false" ht="15" hidden="false" customHeight="false" outlineLevel="0" collapsed="false">
      <c r="K20" s="16"/>
      <c r="L20" s="16"/>
      <c r="M20" s="16"/>
      <c r="N20" s="16"/>
    </row>
    <row r="21" customFormat="false" ht="46.5" hidden="false" customHeight="true" outlineLevel="0" collapsed="false">
      <c r="K21" s="16"/>
      <c r="L21" s="16"/>
      <c r="M21" s="16"/>
      <c r="N21" s="16"/>
    </row>
    <row r="22" customFormat="false" ht="15.75" hidden="false" customHeight="true" outlineLevel="0" collapsed="false">
      <c r="K22" s="16" t="s">
        <v>566</v>
      </c>
      <c r="L22" s="16"/>
      <c r="M22" s="16"/>
      <c r="N22" s="16"/>
    </row>
  </sheetData>
  <mergeCells count="8">
    <mergeCell ref="A1:B1"/>
    <mergeCell ref="K1:N1"/>
    <mergeCell ref="A8:B8"/>
    <mergeCell ref="K14:N14"/>
    <mergeCell ref="K15:N15"/>
    <mergeCell ref="K20:N20"/>
    <mergeCell ref="K21:N21"/>
    <mergeCell ref="K22:N22"/>
  </mergeCells>
  <printOptions headings="false" gridLines="false" gridLinesSet="true" horizontalCentered="false" verticalCentered="false"/>
  <pageMargins left="0.7" right="0.7" top="0.75" bottom="0.75"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false" showRowColHeaders="true" showZeros="true" rightToLeft="false" tabSelected="false" showOutlineSymbols="true" defaultGridColor="true" view="pageBreakPreview" topLeftCell="A1" colorId="64" zoomScale="85" zoomScaleNormal="75" zoomScalePageLayoutView="85" workbookViewId="0">
      <selection pane="topLeft" activeCell="B15" activeCellId="0" sqref="B15"/>
    </sheetView>
  </sheetViews>
  <sheetFormatPr defaultColWidth="11.42578125" defaultRowHeight="15" customHeight="false" zeroHeight="false" outlineLevelRow="0" outlineLevelCol="0"/>
  <cols>
    <col collapsed="false" customWidth="true" hidden="false" outlineLevel="0" max="1" min="1" style="18" width="26.29"/>
    <col collapsed="false" customWidth="true" hidden="false" outlineLevel="0" max="2" min="2" style="18" width="14.42"/>
    <col collapsed="false" customWidth="true" hidden="false" outlineLevel="0" max="3" min="3" style="18" width="15.29"/>
    <col collapsed="false" customWidth="true" hidden="false" outlineLevel="0" max="4" min="4" style="18" width="13.57"/>
    <col collapsed="false" customWidth="true" hidden="false" outlineLevel="0" max="5" min="5" style="18" width="14.29"/>
    <col collapsed="false" customWidth="true" hidden="false" outlineLevel="0" max="11" min="11" style="18" width="4.71"/>
    <col collapsed="false" customWidth="true" hidden="false" outlineLevel="0" max="12" min="12" style="18" width="11.29"/>
    <col collapsed="false" customWidth="true" hidden="false" outlineLevel="0" max="13" min="13" style="18" width="9.14"/>
    <col collapsed="false" customWidth="true" hidden="false" outlineLevel="0" max="14" min="14" style="18" width="8.15"/>
  </cols>
  <sheetData>
    <row r="1" customFormat="false" ht="15" hidden="false" customHeight="true" outlineLevel="0" collapsed="false">
      <c r="A1" s="235" t="s">
        <v>540</v>
      </c>
      <c r="B1" s="235"/>
      <c r="K1" s="219" t="s">
        <v>541</v>
      </c>
      <c r="L1" s="219"/>
      <c r="M1" s="219"/>
      <c r="N1" s="219"/>
    </row>
    <row r="2" customFormat="false" ht="29" hidden="false" customHeight="false" outlineLevel="0" collapsed="false">
      <c r="A2" s="236" t="s">
        <v>542</v>
      </c>
      <c r="B2" s="237" t="n">
        <v>46167</v>
      </c>
      <c r="K2" s="181" t="s">
        <v>543</v>
      </c>
      <c r="L2" s="182" t="s">
        <v>544</v>
      </c>
      <c r="M2" s="182" t="s">
        <v>545</v>
      </c>
      <c r="N2" s="183" t="s">
        <v>546</v>
      </c>
    </row>
    <row r="3" customFormat="false" ht="15" hidden="false" customHeight="false" outlineLevel="0" collapsed="false">
      <c r="A3" s="184" t="s">
        <v>547</v>
      </c>
      <c r="B3" s="237" t="n">
        <v>46178</v>
      </c>
      <c r="K3" s="186" t="n">
        <v>1</v>
      </c>
      <c r="L3" s="187" t="n">
        <f aca="false">B5</f>
        <v>13</v>
      </c>
      <c r="M3" s="188" t="n">
        <f aca="false">B5-N3</f>
        <v>13</v>
      </c>
      <c r="N3" s="189" t="n">
        <v>0</v>
      </c>
    </row>
    <row r="4" customFormat="false" ht="38.25" hidden="false" customHeight="true" outlineLevel="0" collapsed="false">
      <c r="A4" s="190" t="s">
        <v>548</v>
      </c>
      <c r="B4" s="191" t="n">
        <v>10</v>
      </c>
      <c r="K4" s="192" t="n">
        <v>2</v>
      </c>
      <c r="L4" s="193" t="n">
        <f aca="false">L3-$B$6</f>
        <v>11.7</v>
      </c>
      <c r="M4" s="194" t="n">
        <v>12.5</v>
      </c>
      <c r="N4" s="189" t="n">
        <v>0</v>
      </c>
    </row>
    <row r="5" customFormat="false" ht="15" hidden="false" customHeight="false" outlineLevel="0" collapsed="false">
      <c r="A5" s="195" t="s">
        <v>549</v>
      </c>
      <c r="B5" s="196" t="n">
        <v>13</v>
      </c>
      <c r="K5" s="186" t="n">
        <v>3</v>
      </c>
      <c r="L5" s="187" t="n">
        <f aca="false">L4-$B$6</f>
        <v>10.4</v>
      </c>
      <c r="M5" s="188" t="n">
        <v>11</v>
      </c>
      <c r="N5" s="189" t="n">
        <v>0</v>
      </c>
    </row>
    <row r="6" customFormat="false" ht="15" hidden="false" customHeight="false" outlineLevel="0" collapsed="false">
      <c r="A6" s="197" t="s">
        <v>550</v>
      </c>
      <c r="B6" s="198" t="n">
        <f aca="false">B5/B4</f>
        <v>1.3</v>
      </c>
      <c r="K6" s="192" t="n">
        <v>4</v>
      </c>
      <c r="L6" s="193" t="n">
        <f aca="false">L5-$B$6</f>
        <v>9.1</v>
      </c>
      <c r="M6" s="194" t="n">
        <v>9.5</v>
      </c>
      <c r="N6" s="189" t="n">
        <v>0</v>
      </c>
    </row>
    <row r="7" customFormat="false" ht="15" hidden="false" customHeight="false" outlineLevel="0" collapsed="false">
      <c r="K7" s="186" t="n">
        <v>5</v>
      </c>
      <c r="L7" s="187" t="n">
        <f aca="false">L6-$B$6</f>
        <v>7.8</v>
      </c>
      <c r="M7" s="188" t="n">
        <v>8</v>
      </c>
      <c r="N7" s="189" t="n">
        <v>0</v>
      </c>
    </row>
    <row r="8" customFormat="false" ht="15" hidden="false" customHeight="true" outlineLevel="0" collapsed="false">
      <c r="A8" s="201" t="s">
        <v>415</v>
      </c>
      <c r="B8" s="201"/>
      <c r="K8" s="192" t="n">
        <v>6</v>
      </c>
      <c r="L8" s="193" t="n">
        <f aca="false">L7-$B$6</f>
        <v>6.5</v>
      </c>
      <c r="M8" s="194" t="n">
        <v>7.5</v>
      </c>
      <c r="N8" s="189" t="n">
        <v>0</v>
      </c>
    </row>
    <row r="9" customFormat="false" ht="15" hidden="false" customHeight="false" outlineLevel="0" collapsed="false">
      <c r="A9" s="202" t="s">
        <v>560</v>
      </c>
      <c r="B9" s="230" t="n">
        <v>10</v>
      </c>
      <c r="K9" s="186" t="n">
        <v>7</v>
      </c>
      <c r="L9" s="187" t="n">
        <f aca="false">L8-$B$6</f>
        <v>5.2</v>
      </c>
      <c r="M9" s="188" t="n">
        <v>6.5</v>
      </c>
      <c r="N9" s="189" t="n">
        <v>0</v>
      </c>
    </row>
    <row r="10" customFormat="false" ht="15" hidden="false" customHeight="false" outlineLevel="0" collapsed="false">
      <c r="A10" s="204" t="s">
        <v>552</v>
      </c>
      <c r="B10" s="231" t="n">
        <f aca="false">6/8</f>
        <v>0.75</v>
      </c>
      <c r="K10" s="192" t="n">
        <v>8</v>
      </c>
      <c r="L10" s="193" t="n">
        <f aca="false">L9-$B$6</f>
        <v>3.9</v>
      </c>
      <c r="M10" s="194" t="n">
        <v>4.5</v>
      </c>
      <c r="N10" s="189" t="n">
        <v>0</v>
      </c>
    </row>
    <row r="11" customFormat="false" ht="15" hidden="false" customHeight="true" outlineLevel="0" collapsed="false">
      <c r="A11" s="204" t="s">
        <v>553</v>
      </c>
      <c r="B11" s="231" t="n">
        <f aca="false">3/8</f>
        <v>0.375</v>
      </c>
      <c r="K11" s="186" t="n">
        <v>9</v>
      </c>
      <c r="L11" s="187" t="n">
        <f aca="false">L10-$B$6</f>
        <v>2.6</v>
      </c>
      <c r="M11" s="188" t="n">
        <v>3.5</v>
      </c>
      <c r="N11" s="189" t="n">
        <v>0</v>
      </c>
    </row>
    <row r="12" customFormat="false" ht="15" hidden="false" customHeight="false" outlineLevel="0" collapsed="false">
      <c r="A12" s="204" t="s">
        <v>554</v>
      </c>
      <c r="B12" s="231" t="n">
        <f aca="false">3/8</f>
        <v>0.375</v>
      </c>
      <c r="K12" s="206" t="n">
        <v>10</v>
      </c>
      <c r="L12" s="207" t="n">
        <v>0</v>
      </c>
      <c r="M12" s="208" t="n">
        <v>0</v>
      </c>
      <c r="N12" s="209" t="n">
        <v>0</v>
      </c>
    </row>
    <row r="13" customFormat="false" ht="15" hidden="false" customHeight="false" outlineLevel="0" collapsed="false">
      <c r="A13" s="210" t="s">
        <v>555</v>
      </c>
      <c r="B13" s="233" t="n">
        <v>0</v>
      </c>
      <c r="K13" s="271"/>
      <c r="L13" s="271"/>
      <c r="M13" s="271"/>
      <c r="N13" s="271"/>
    </row>
    <row r="14" customFormat="false" ht="19.5" hidden="false" customHeight="true" outlineLevel="0" collapsed="false">
      <c r="A14" s="212" t="s">
        <v>556</v>
      </c>
      <c r="B14" s="234" t="n">
        <f aca="false">B9-B10-B11-B12-B13</f>
        <v>8.5</v>
      </c>
      <c r="K14" s="258" t="s">
        <v>557</v>
      </c>
      <c r="L14" s="258"/>
      <c r="M14" s="258"/>
      <c r="N14" s="258"/>
    </row>
    <row r="15" customFormat="false" ht="70.5" hidden="false" customHeight="true" outlineLevel="0" collapsed="false">
      <c r="K15" s="272" t="s">
        <v>567</v>
      </c>
      <c r="L15" s="272"/>
      <c r="M15" s="272"/>
      <c r="N15" s="272"/>
    </row>
    <row r="16" customFormat="false" ht="15" hidden="false" customHeight="true" outlineLevel="0" collapsed="false">
      <c r="K16" s="217" t="s">
        <v>568</v>
      </c>
      <c r="L16" s="217"/>
      <c r="M16" s="217"/>
      <c r="N16" s="217"/>
      <c r="O16" s="215"/>
    </row>
  </sheetData>
  <mergeCells count="6">
    <mergeCell ref="A1:B1"/>
    <mergeCell ref="K1:N1"/>
    <mergeCell ref="A8:B8"/>
    <mergeCell ref="K14:N14"/>
    <mergeCell ref="K15:N15"/>
    <mergeCell ref="K16:N16"/>
  </mergeCells>
  <printOptions headings="false" gridLines="false" gridLinesSet="true" horizontalCentered="false" verticalCentered="false"/>
  <pageMargins left="0.7" right="0.7" top="0.75" bottom="0.75" header="0.511811023622047" footer="0.511811023622047"/>
  <pageSetup paperSize="1" scale="68"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false" showRowColHeaders="true" showZeros="true" rightToLeft="false" tabSelected="false" showOutlineSymbols="true" defaultGridColor="true" view="pageBreakPreview" topLeftCell="A7" colorId="64" zoomScale="85" zoomScaleNormal="75" zoomScalePageLayoutView="85" workbookViewId="0">
      <selection pane="topLeft" activeCell="F22" activeCellId="0" sqref="F22"/>
    </sheetView>
  </sheetViews>
  <sheetFormatPr defaultColWidth="11.42578125" defaultRowHeight="14.25" customHeight="false" zeroHeight="false" outlineLevelRow="0" outlineLevelCol="0"/>
  <cols>
    <col collapsed="false" customWidth="true" hidden="false" outlineLevel="0" max="1" min="1" style="2" width="5.57"/>
    <col collapsed="false" customWidth="true" hidden="false" outlineLevel="0" max="2" min="2" style="2" width="9.71"/>
    <col collapsed="false" customWidth="true" hidden="false" outlineLevel="0" max="3" min="3" style="2" width="14.14"/>
    <col collapsed="false" customWidth="true" hidden="false" outlineLevel="0" max="4" min="4" style="273" width="17.57"/>
    <col collapsed="false" customWidth="true" hidden="false" outlineLevel="0" max="5" min="5" style="2" width="59.29"/>
    <col collapsed="false" customWidth="true" hidden="false" outlineLevel="0" max="6" min="6" style="2" width="51"/>
    <col collapsed="false" customWidth="true" hidden="false" outlineLevel="0" max="7" min="7" style="2" width="17.57"/>
    <col collapsed="false" customWidth="true" hidden="false" outlineLevel="0" max="8" min="8" style="2" width="12.88"/>
    <col collapsed="false" customWidth="true" hidden="false" outlineLevel="0" max="9" min="9" style="2" width="22.15"/>
  </cols>
  <sheetData>
    <row r="1" customFormat="false" ht="15.5" hidden="false" customHeight="true" outlineLevel="0" collapsed="false">
      <c r="A1" s="274" t="s">
        <v>569</v>
      </c>
      <c r="B1" s="274"/>
      <c r="C1" s="274"/>
      <c r="D1" s="274"/>
      <c r="E1" s="274"/>
      <c r="F1" s="274"/>
      <c r="G1" s="274"/>
      <c r="H1" s="274"/>
      <c r="I1" s="274"/>
    </row>
    <row r="2" customFormat="false" ht="39" hidden="false" customHeight="true" outlineLevel="0" collapsed="false">
      <c r="A2" s="164" t="s">
        <v>88</v>
      </c>
      <c r="B2" s="275" t="s">
        <v>407</v>
      </c>
      <c r="C2" s="275" t="s">
        <v>570</v>
      </c>
      <c r="D2" s="276" t="s">
        <v>30</v>
      </c>
      <c r="E2" s="275" t="s">
        <v>571</v>
      </c>
      <c r="F2" s="275" t="s">
        <v>572</v>
      </c>
      <c r="G2" s="275" t="s">
        <v>418</v>
      </c>
      <c r="H2" s="275" t="s">
        <v>421</v>
      </c>
      <c r="I2" s="277" t="s">
        <v>573</v>
      </c>
    </row>
    <row r="3" customFormat="false" ht="42.5" hidden="false" customHeight="false" outlineLevel="0" collapsed="false">
      <c r="A3" s="278" t="n">
        <v>1</v>
      </c>
      <c r="B3" s="279" t="n">
        <v>1</v>
      </c>
      <c r="C3" s="280" t="n">
        <v>46084</v>
      </c>
      <c r="D3" s="281" t="s">
        <v>574</v>
      </c>
      <c r="E3" s="281" t="s">
        <v>575</v>
      </c>
      <c r="F3" s="281" t="s">
        <v>576</v>
      </c>
      <c r="G3" s="279" t="s">
        <v>577</v>
      </c>
      <c r="H3" s="279" t="s">
        <v>578</v>
      </c>
      <c r="I3" s="282" t="n">
        <v>46086</v>
      </c>
    </row>
    <row r="4" customFormat="false" ht="42.5" hidden="false" customHeight="false" outlineLevel="0" collapsed="false">
      <c r="A4" s="283" t="n">
        <v>2</v>
      </c>
      <c r="B4" s="284" t="n">
        <v>2</v>
      </c>
      <c r="C4" s="285" t="n">
        <v>46098</v>
      </c>
      <c r="D4" s="172" t="s">
        <v>579</v>
      </c>
      <c r="E4" s="172" t="s">
        <v>580</v>
      </c>
      <c r="F4" s="172" t="s">
        <v>581</v>
      </c>
      <c r="G4" s="284" t="s">
        <v>582</v>
      </c>
      <c r="H4" s="284" t="s">
        <v>578</v>
      </c>
      <c r="I4" s="286" t="n">
        <v>46099</v>
      </c>
    </row>
    <row r="5" customFormat="false" ht="56" hidden="false" customHeight="false" outlineLevel="0" collapsed="false">
      <c r="A5" s="287" t="n">
        <v>3</v>
      </c>
      <c r="B5" s="167" t="n">
        <v>2</v>
      </c>
      <c r="C5" s="288" t="n">
        <v>46099</v>
      </c>
      <c r="D5" s="169" t="s">
        <v>583</v>
      </c>
      <c r="E5" s="169" t="s">
        <v>584</v>
      </c>
      <c r="F5" s="169" t="s">
        <v>585</v>
      </c>
      <c r="G5" s="167" t="s">
        <v>586</v>
      </c>
      <c r="H5" s="167" t="s">
        <v>578</v>
      </c>
      <c r="I5" s="289" t="n">
        <v>46100</v>
      </c>
    </row>
    <row r="6" customFormat="false" ht="42.5" hidden="false" customHeight="false" outlineLevel="0" collapsed="false">
      <c r="A6" s="283" t="n">
        <v>4</v>
      </c>
      <c r="B6" s="284" t="n">
        <v>3</v>
      </c>
      <c r="C6" s="285" t="n">
        <v>46112</v>
      </c>
      <c r="D6" s="172" t="s">
        <v>587</v>
      </c>
      <c r="E6" s="172" t="s">
        <v>588</v>
      </c>
      <c r="F6" s="172" t="s">
        <v>589</v>
      </c>
      <c r="G6" s="284" t="s">
        <v>590</v>
      </c>
      <c r="H6" s="284" t="s">
        <v>578</v>
      </c>
      <c r="I6" s="286" t="n">
        <v>46113</v>
      </c>
    </row>
    <row r="7" customFormat="false" ht="42.5" hidden="false" customHeight="false" outlineLevel="0" collapsed="false">
      <c r="A7" s="287" t="n">
        <v>5</v>
      </c>
      <c r="B7" s="167" t="n">
        <v>4</v>
      </c>
      <c r="C7" s="288" t="n">
        <v>46125</v>
      </c>
      <c r="D7" s="169" t="s">
        <v>579</v>
      </c>
      <c r="E7" s="169" t="s">
        <v>591</v>
      </c>
      <c r="F7" s="169" t="s">
        <v>592</v>
      </c>
      <c r="G7" s="167" t="s">
        <v>582</v>
      </c>
      <c r="H7" s="167" t="s">
        <v>578</v>
      </c>
      <c r="I7" s="289" t="n">
        <v>46126</v>
      </c>
    </row>
    <row r="8" customFormat="false" ht="42.5" hidden="false" customHeight="false" outlineLevel="0" collapsed="false">
      <c r="A8" s="283" t="n">
        <v>6</v>
      </c>
      <c r="B8" s="284" t="n">
        <v>4</v>
      </c>
      <c r="C8" s="285" t="n">
        <v>46126</v>
      </c>
      <c r="D8" s="172" t="s">
        <v>593</v>
      </c>
      <c r="E8" s="172" t="s">
        <v>594</v>
      </c>
      <c r="F8" s="172" t="s">
        <v>595</v>
      </c>
      <c r="G8" s="284" t="s">
        <v>596</v>
      </c>
      <c r="H8" s="284" t="s">
        <v>578</v>
      </c>
      <c r="I8" s="286" t="n">
        <v>46127</v>
      </c>
    </row>
    <row r="9" customFormat="false" ht="42.5" hidden="false" customHeight="false" outlineLevel="0" collapsed="false">
      <c r="A9" s="287" t="n">
        <v>7</v>
      </c>
      <c r="B9" s="167" t="n">
        <v>5</v>
      </c>
      <c r="C9" s="288" t="n">
        <v>46142</v>
      </c>
      <c r="D9" s="169" t="s">
        <v>579</v>
      </c>
      <c r="E9" s="169" t="s">
        <v>597</v>
      </c>
      <c r="F9" s="169" t="s">
        <v>598</v>
      </c>
      <c r="G9" s="167" t="s">
        <v>582</v>
      </c>
      <c r="H9" s="167" t="s">
        <v>578</v>
      </c>
      <c r="I9" s="289" t="n">
        <v>46143</v>
      </c>
    </row>
    <row r="10" customFormat="false" ht="56" hidden="false" customHeight="false" outlineLevel="0" collapsed="false">
      <c r="A10" s="283" t="n">
        <v>8</v>
      </c>
      <c r="B10" s="284" t="n">
        <v>5</v>
      </c>
      <c r="C10" s="285" t="n">
        <v>46143</v>
      </c>
      <c r="D10" s="172" t="s">
        <v>599</v>
      </c>
      <c r="E10" s="172" t="s">
        <v>600</v>
      </c>
      <c r="F10" s="172" t="s">
        <v>601</v>
      </c>
      <c r="G10" s="284" t="s">
        <v>590</v>
      </c>
      <c r="H10" s="284" t="s">
        <v>578</v>
      </c>
      <c r="I10" s="286" t="n">
        <v>46147</v>
      </c>
    </row>
    <row r="11" customFormat="false" ht="56" hidden="false" customHeight="false" outlineLevel="0" collapsed="false">
      <c r="A11" s="287" t="n">
        <v>9</v>
      </c>
      <c r="B11" s="167" t="n">
        <v>5</v>
      </c>
      <c r="C11" s="288" t="n">
        <v>46143</v>
      </c>
      <c r="D11" s="169" t="s">
        <v>602</v>
      </c>
      <c r="E11" s="169" t="s">
        <v>603</v>
      </c>
      <c r="F11" s="169" t="s">
        <v>604</v>
      </c>
      <c r="G11" s="167" t="s">
        <v>605</v>
      </c>
      <c r="H11" s="167" t="s">
        <v>578</v>
      </c>
      <c r="I11" s="289" t="n">
        <v>46147</v>
      </c>
    </row>
    <row r="12" customFormat="false" ht="42.5" hidden="false" customHeight="false" outlineLevel="0" collapsed="false">
      <c r="A12" s="283" t="n">
        <v>10</v>
      </c>
      <c r="B12" s="284" t="n">
        <v>6</v>
      </c>
      <c r="C12" s="285" t="n">
        <v>46160</v>
      </c>
      <c r="D12" s="172" t="s">
        <v>606</v>
      </c>
      <c r="E12" s="172" t="s">
        <v>607</v>
      </c>
      <c r="F12" s="172" t="s">
        <v>608</v>
      </c>
      <c r="G12" s="284" t="s">
        <v>609</v>
      </c>
      <c r="H12" s="284" t="s">
        <v>610</v>
      </c>
      <c r="I12" s="286" t="n">
        <v>46160</v>
      </c>
    </row>
    <row r="13" customFormat="false" ht="42.5" hidden="false" customHeight="false" outlineLevel="0" collapsed="false">
      <c r="A13" s="287" t="n">
        <v>11</v>
      </c>
      <c r="B13" s="167" t="n">
        <v>7</v>
      </c>
      <c r="C13" s="288" t="n">
        <v>46167</v>
      </c>
      <c r="D13" s="169" t="s">
        <v>579</v>
      </c>
      <c r="E13" s="169" t="s">
        <v>611</v>
      </c>
      <c r="F13" s="169" t="s">
        <v>612</v>
      </c>
      <c r="G13" s="167" t="s">
        <v>582</v>
      </c>
      <c r="H13" s="167" t="s">
        <v>578</v>
      </c>
      <c r="I13" s="289" t="n">
        <v>46170</v>
      </c>
    </row>
    <row r="14" customFormat="false" ht="42.5" hidden="false" customHeight="false" outlineLevel="0" collapsed="false">
      <c r="A14" s="283" t="n">
        <v>12</v>
      </c>
      <c r="B14" s="284" t="n">
        <v>7</v>
      </c>
      <c r="C14" s="285" t="n">
        <v>46171</v>
      </c>
      <c r="D14" s="172" t="s">
        <v>613</v>
      </c>
      <c r="E14" s="172" t="s">
        <v>614</v>
      </c>
      <c r="F14" s="172" t="s">
        <v>615</v>
      </c>
      <c r="G14" s="284" t="s">
        <v>596</v>
      </c>
      <c r="H14" s="284" t="s">
        <v>578</v>
      </c>
      <c r="I14" s="286" t="n">
        <v>46176</v>
      </c>
    </row>
    <row r="15" customFormat="false" ht="42.5" hidden="false" customHeight="false" outlineLevel="0" collapsed="false">
      <c r="A15" s="290" t="n">
        <v>13</v>
      </c>
      <c r="B15" s="291" t="n">
        <v>7</v>
      </c>
      <c r="C15" s="292" t="n">
        <v>46177</v>
      </c>
      <c r="D15" s="293" t="s">
        <v>587</v>
      </c>
      <c r="E15" s="293" t="s">
        <v>616</v>
      </c>
      <c r="F15" s="293" t="s">
        <v>617</v>
      </c>
      <c r="G15" s="291" t="s">
        <v>618</v>
      </c>
      <c r="H15" s="291" t="s">
        <v>578</v>
      </c>
      <c r="I15" s="294" t="n">
        <v>46178</v>
      </c>
    </row>
    <row r="1048576" customFormat="false" ht="12.8" hidden="false" customHeight="false" outlineLevel="0" collapsed="false"/>
  </sheetData>
  <mergeCells count="1">
    <mergeCell ref="A1:I1"/>
  </mergeCells>
  <printOptions headings="false" gridLines="false" gridLinesSet="true" horizontalCentered="false" verticalCentered="false"/>
  <pageMargins left="0.708333333333333" right="0.708333333333333" top="0.747916666666667" bottom="0.747916666666667" header="0.511811023622047" footer="0.511811023622047"/>
  <pageSetup paperSize="1" scale="57"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14063</TotalTime>
  <Application>LibreOffice/26.2.5.2$Windows_X86_64 LibreOffice_project/cd7284b4cbbfeb507e630c1aac019f4157393acb</Application>
  <AppVersion>15.0000</AppVersion>
  <Company>Toshiba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2016-10-07T23:21:19Z</dcterms:created>
  <dc:creator>Ing Diego Ochoa</dc:creator>
  <dc:description/>
  <dc:language>es-VE</dc:language>
  <cp:lastModifiedBy/>
  <cp:lastPrinted>2026-08-27T20:37:34Z</cp:lastPrinted>
  <dcterms:modified xsi:type="dcterms:W3CDTF">2026-08-28T00:22:42Z</dcterms:modified>
  <cp:revision>101</cp:revision>
  <dc:subject/>
  <dc:title/>
</cp:coreProperties>
</file>

<file path=docProps/custom.xml><?xml version="1.0" encoding="utf-8"?>
<Properties xmlns="http://schemas.openxmlformats.org/officeDocument/2006/custom-properties" xmlns:vt="http://schemas.openxmlformats.org/officeDocument/2006/docPropsVTypes"/>
</file>